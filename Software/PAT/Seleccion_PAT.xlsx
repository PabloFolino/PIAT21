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Config" sheetId="1" state="visible" r:id="rId3"/>
    <sheet name="Respuesta del Formulario" sheetId="2" state="visible" r:id="rId4"/>
    <sheet name="Docentes" sheetId="3" state="visible" r:id="rId5"/>
    <sheet name="Estadisticas" sheetId="4" state="visible" r:id="rId6"/>
    <sheet name="Fichas_Alumnos" sheetId="5" state="visible" r:id="rId7"/>
    <sheet name="Errores" sheetId="6" state="visible" r:id="rId8"/>
    <sheet name="Historial docent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<sst xmlns="http://schemas.openxmlformats.org/spreadsheetml/2006/main" count="4266" uniqueCount="2322">
  <si>
    <t xml:space="preserve">Clave</t>
  </si>
  <si>
    <t xml:space="preserve">Valor</t>
  </si>
  <si>
    <t xml:space="preserve">Descripción</t>
  </si>
  <si>
    <t xml:space="preserve">Años</t>
  </si>
  <si>
    <t xml:space="preserve">RUTA_RAIZ</t>
  </si>
  <si>
    <t xml:space="preserve">ID carpeta PAT</t>
  </si>
  <si>
    <t xml:space="preserve">ID_PLANTILLA Nombre_Apellido_xxx</t>
  </si>
  <si>
    <t xml:space="preserve">ID plantilla alumno</t>
  </si>
  <si>
    <t xml:space="preserve">ID_Seleccion_PAT</t>
  </si>
  <si>
    <t xml:space="preserve">Cupo por docente</t>
  </si>
  <si>
    <t xml:space="preserve">ID_Directorio_Alumnos</t>
  </si>
  <si>
    <t xml:space="preserve">Directorio de Alumnos </t>
  </si>
  <si>
    <t xml:space="preserve">SISTEMA_ACTIVO</t>
  </si>
  <si>
    <t xml:space="preserve">Habilitar sistema</t>
  </si>
  <si>
    <t xml:space="preserve">VERSION</t>
  </si>
  <si>
    <t xml:space="preserve">Versión</t>
  </si>
  <si>
    <t xml:space="preserve">BOTON_INSCRIPCION</t>
  </si>
  <si>
    <t xml:space="preserve">Habilita o no la inscripcion</t>
  </si>
  <si>
    <t xml:space="preserve">ID_DirectorioBackUp</t>
  </si>
  <si>
    <t xml:space="preserve">Directorio de BackUp</t>
  </si>
  <si>
    <t xml:space="preserve">Año actual</t>
  </si>
  <si>
    <t xml:space="preserve">Email_ADMINISTRADOR</t>
  </si>
  <si>
    <t xml:space="preserve">Email principal</t>
  </si>
  <si>
    <t xml:space="preserve">ID_LOGO</t>
  </si>
  <si>
    <t xml:space="preserve">Logo de la esceula</t>
  </si>
  <si>
    <t xml:space="preserve">ID_Apps_Script</t>
  </si>
  <si>
    <t xml:space="preserve">ID_Egresados</t>
  </si>
  <si>
    <t xml:space="preserve">ID de la carpeta de Egresados</t>
  </si>
  <si>
    <t xml:space="preserve">ID_Bajas</t>
  </si>
  <si>
    <t xml:space="preserve">ID de la carpeta de Bajas</t>
  </si>
  <si>
    <t xml:space="preserve">Timestamp</t>
  </si>
  <si>
    <t xml:space="preserve">Apellido del Estudiante</t>
  </si>
  <si>
    <t xml:space="preserve">Nombre del Estudiante</t>
  </si>
  <si>
    <t xml:space="preserve">DNI</t>
  </si>
  <si>
    <t xml:space="preserve">Nacionalidad</t>
  </si>
  <si>
    <t xml:space="preserve">Fecha Nacimiento</t>
  </si>
  <si>
    <t xml:space="preserve">Email Address</t>
  </si>
  <si>
    <t xml:space="preserve">Email ALU</t>
  </si>
  <si>
    <t xml:space="preserve">Distrito</t>
  </si>
  <si>
    <t xml:space="preserve">Municipio</t>
  </si>
  <si>
    <t xml:space="preserve">Calle</t>
  </si>
  <si>
    <t xml:space="preserve">CP</t>
  </si>
  <si>
    <t xml:space="preserve">Tutor1Nombre</t>
  </si>
  <si>
    <t xml:space="preserve">Tutor1Apellido</t>
  </si>
  <si>
    <t xml:space="preserve">Tutor1Telefono</t>
  </si>
  <si>
    <t xml:space="preserve">Tutor1Email</t>
  </si>
  <si>
    <t xml:space="preserve">Tutor2Nombre</t>
  </si>
  <si>
    <t xml:space="preserve">Tutor2Apellido</t>
  </si>
  <si>
    <t xml:space="preserve">Tutor2Telefono</t>
  </si>
  <si>
    <t xml:space="preserve">Tutor2Email</t>
  </si>
  <si>
    <t xml:space="preserve">Ficha Salud</t>
  </si>
  <si>
    <t xml:space="preserve">Año</t>
  </si>
  <si>
    <t xml:space="preserve">División</t>
  </si>
  <si>
    <t xml:space="preserve">Turno</t>
  </si>
  <si>
    <t xml:space="preserve">Especialidad</t>
  </si>
  <si>
    <t xml:space="preserve">Nombre Docente</t>
  </si>
  <si>
    <t xml:space="preserve">URL Archivo</t>
  </si>
  <si>
    <t xml:space="preserve">URL Carpeta</t>
  </si>
  <si>
    <t xml:space="preserve">Mandrea</t>
  </si>
  <si>
    <t xml:space="preserve">Sofia Bianca</t>
  </si>
  <si>
    <t xml:space="preserve">Argentina </t>
  </si>
  <si>
    <t xml:space="preserve">mandrea.sofia.et21.26@gmail.com</t>
  </si>
  <si>
    <t xml:space="preserve">SIN DATO</t>
  </si>
  <si>
    <t xml:space="preserve">caba</t>
  </si>
  <si>
    <t xml:space="preserve">Villa Urquiza</t>
  </si>
  <si>
    <t xml:space="preserve">Quesada 5090 Dpto A</t>
  </si>
  <si>
    <t xml:space="preserve">Brenda Soledad</t>
  </si>
  <si>
    <t xml:space="preserve">Raño</t>
  </si>
  <si>
    <t xml:space="preserve">brendarano@gmail.com</t>
  </si>
  <si>
    <t xml:space="preserve">1144798172 (Hermano)</t>
  </si>
  <si>
    <t xml:space="preserve"> osvaldo2418@hotmail.com</t>
  </si>
  <si>
    <t xml:space="preserve">TD</t>
  </si>
  <si>
    <t xml:space="preserve">CB</t>
  </si>
  <si>
    <t xml:space="preserve">Muiño, Claudia</t>
  </si>
  <si>
    <t xml:space="preserve">https://docs.google.com/spreadsheets/d/19PxvPfGsGu8F3B0iIsOJYTqvfHWQSPK_pHgkXrO397s/edit?usp=drivesdk</t>
  </si>
  <si>
    <t xml:space="preserve">https://drive.google.com/drive/folders/1VtbC3ANLqCxXDw_BqR_SHYEELqpyy98u</t>
  </si>
  <si>
    <t xml:space="preserve">Marín</t>
  </si>
  <si>
    <t xml:space="preserve">Ana</t>
  </si>
  <si>
    <t xml:space="preserve">Venezonala</t>
  </si>
  <si>
    <t xml:space="preserve">19/10/2007</t>
  </si>
  <si>
    <t xml:space="preserve">marin.ana.et21.22@gmail.com</t>
  </si>
  <si>
    <t xml:space="preserve">anam0606@alu.bue.edu.ar</t>
  </si>
  <si>
    <t xml:space="preserve">CABA</t>
  </si>
  <si>
    <t xml:space="preserve">Belgrano</t>
  </si>
  <si>
    <t xml:space="preserve">Cuba</t>
  </si>
  <si>
    <t xml:space="preserve">Romnay</t>
  </si>
  <si>
    <t xml:space="preserve">Granado</t>
  </si>
  <si>
    <t xml:space="preserve">romnaygranado@gmail.com</t>
  </si>
  <si>
    <t xml:space="preserve">Martin</t>
  </si>
  <si>
    <t xml:space="preserve">martinjmquintero@gmail.com</t>
  </si>
  <si>
    <t xml:space="preserve">CSC</t>
  </si>
  <si>
    <t xml:space="preserve">Mitingay, Dardo Antonio</t>
  </si>
  <si>
    <t xml:space="preserve">https://docs.google.com/spreadsheets/d/1S9WBiX0Sv4CQV-mrOtML-ZcBTOwtBtbAj5vbkBcI390/edit?usp=drivesdk</t>
  </si>
  <si>
    <t xml:space="preserve">Ibañez</t>
  </si>
  <si>
    <t xml:space="preserve">Marlene</t>
  </si>
  <si>
    <t xml:space="preserve">ARGENTINA</t>
  </si>
  <si>
    <t xml:space="preserve">19/10/2011</t>
  </si>
  <si>
    <t xml:space="preserve">ibanez.marlene.et21.25@gmail.com</t>
  </si>
  <si>
    <t xml:space="preserve">@alu.bue.edu.ar</t>
  </si>
  <si>
    <t xml:space="preserve">V. LOPEZ</t>
  </si>
  <si>
    <t xml:space="preserve">MELINA</t>
  </si>
  <si>
    <t xml:space="preserve">IBAÑEZ</t>
  </si>
  <si>
    <t xml:space="preserve">melii.2009@outlook.com</t>
  </si>
  <si>
    <t xml:space="preserve">Larretape, Mariano</t>
  </si>
  <si>
    <t xml:space="preserve">https://docs.google.com/spreadsheets/d/182yp3rXNO3nEiUWuJUToySK5BZnA_Y4Z-CpwGtChvlY/edit?usp=drivesdk</t>
  </si>
  <si>
    <t xml:space="preserve">Marques</t>
  </si>
  <si>
    <t xml:space="preserve">Guadalupe</t>
  </si>
  <si>
    <t xml:space="preserve">Argentina</t>
  </si>
  <si>
    <t xml:space="preserve">24/02/2011</t>
  </si>
  <si>
    <t xml:space="preserve">Marques.guadalupe.et21.24@gmail.com</t>
  </si>
  <si>
    <t xml:space="preserve">psarmiento20_3003@alu.bue.edu.ar</t>
  </si>
  <si>
    <t xml:space="preserve">CABA,Pcia de BsAs </t>
  </si>
  <si>
    <t xml:space="preserve">Vicente Lopez </t>
  </si>
  <si>
    <t xml:space="preserve">Agustin alvarez 4277</t>
  </si>
  <si>
    <t xml:space="preserve">Yanina Rosana </t>
  </si>
  <si>
    <t xml:space="preserve">Dell ‘ aica </t>
  </si>
  <si>
    <t xml:space="preserve">116288-9160</t>
  </si>
  <si>
    <t xml:space="preserve">Yanina.dellaica@bue.edu.ar</t>
  </si>
  <si>
    <t xml:space="preserve">Normal</t>
  </si>
  <si>
    <t xml:space="preserve">Cuiñas,Carolina</t>
  </si>
  <si>
    <t xml:space="preserve">https://docs.google.com/spreadsheets/d/1Zcje-KX2TuwgnEHPD2P-Vv1YVb6QdoziI7yRGQPyfB8/edit?usp=drivesdk</t>
  </si>
  <si>
    <t xml:space="preserve">Martel</t>
  </si>
  <si>
    <t xml:space="preserve">Sandra</t>
  </si>
  <si>
    <t xml:space="preserve">sandra.martel.et21.23@gmail.com</t>
  </si>
  <si>
    <t xml:space="preserve">José León Suárez </t>
  </si>
  <si>
    <t xml:space="preserve">General San Martín.</t>
  </si>
  <si>
    <t xml:space="preserve">Andrés lamas 8869</t>
  </si>
  <si>
    <t xml:space="preserve">B1655</t>
  </si>
  <si>
    <t xml:space="preserve">Marita </t>
  </si>
  <si>
    <t xml:space="preserve">Fabián Pizarro </t>
  </si>
  <si>
    <t xml:space="preserve">fabianpizarromarita@gmail.com</t>
  </si>
  <si>
    <t xml:space="preserve">-</t>
  </si>
  <si>
    <t xml:space="preserve">CSM</t>
  </si>
  <si>
    <t xml:space="preserve">Lignini, Silvina Fernanda</t>
  </si>
  <si>
    <t xml:space="preserve">https://docs.google.com/spreadsheets/d/15BP5pihWRoAvUgXVPZBwAr_EtnvVd_XPrQyBwhpUl9k/edit?usp=drivesdk</t>
  </si>
  <si>
    <t xml:space="preserve">Martel Fabian</t>
  </si>
  <si>
    <t xml:space="preserve">Nadia</t>
  </si>
  <si>
    <t xml:space="preserve">23/07/2007</t>
  </si>
  <si>
    <t xml:space="preserve">MARTEL.NADIA.ET21.23@GMAIL.COM</t>
  </si>
  <si>
    <t xml:space="preserve">NADIAM284@ALU.BUE.EDU.AR</t>
  </si>
  <si>
    <t xml:space="preserve">CIUDAD DE BS AS</t>
  </si>
  <si>
    <t xml:space="preserve">SAN MARTIN</t>
  </si>
  <si>
    <t xml:space="preserve">ANDRES LAMAS 8869</t>
  </si>
  <si>
    <t xml:space="preserve">MARITA</t>
  </si>
  <si>
    <t xml:space="preserve">FABIAN</t>
  </si>
  <si>
    <t xml:space="preserve">FABIANPIZARROMARITA@GMAIL.COM</t>
  </si>
  <si>
    <t xml:space="preserve">NADA</t>
  </si>
  <si>
    <t xml:space="preserve">Rizzo, Tamara</t>
  </si>
  <si>
    <t xml:space="preserve">https://docs.google.com/spreadsheets/d/1wNHux6gRQp6oyM5_dFNLS4VeNGokLWt-ZBLVUp7Rrvk/edit?usp=drivesdk</t>
  </si>
  <si>
    <t xml:space="preserve">Vito</t>
  </si>
  <si>
    <t xml:space="preserve">20/01/2009</t>
  </si>
  <si>
    <t xml:space="preserve">martin.vito.et21.22@gmail.com</t>
  </si>
  <si>
    <t xml:space="preserve">Saavedra</t>
  </si>
  <si>
    <t xml:space="preserve">Ramallo 2360</t>
  </si>
  <si>
    <t xml:space="preserve">Cristian</t>
  </si>
  <si>
    <t xml:space="preserve">11 6954 3835</t>
  </si>
  <si>
    <t xml:space="preserve">ventausado3102@gmail.com</t>
  </si>
  <si>
    <t xml:space="preserve">https://docs.google.com/spreadsheets/d/1qPC24VtnV2C-Dhct518KwqXvnqmV1oSq_IVOeA6Vt0w/edit?usp=drivesdk</t>
  </si>
  <si>
    <t xml:space="preserve">Martinez</t>
  </si>
  <si>
    <t xml:space="preserve">Dante</t>
  </si>
  <si>
    <t xml:space="preserve">17/02/2013</t>
  </si>
  <si>
    <t xml:space="preserve">Martinez.dante.et21.26@gmail.com</t>
  </si>
  <si>
    <t xml:space="preserve">Villa Martelli</t>
  </si>
  <si>
    <t xml:space="preserve">General Las Heras 3686</t>
  </si>
  <si>
    <t xml:space="preserve">Carolina</t>
  </si>
  <si>
    <t xml:space="preserve">Contreras</t>
  </si>
  <si>
    <t xml:space="preserve">ccc8caro@gmail.com</t>
  </si>
  <si>
    <t xml:space="preserve">No</t>
  </si>
  <si>
    <t xml:space="preserve">Balor, Verónica</t>
  </si>
  <si>
    <t xml:space="preserve">https://docs.google.com/spreadsheets/d/1lPKgpKgkcnjhbfwUnZeGvZ2q0KHfF3m_KPUuYKTpvDU/edit?usp=drivesdk</t>
  </si>
  <si>
    <t xml:space="preserve">Franco</t>
  </si>
  <si>
    <t xml:space="preserve">19/07/2011</t>
  </si>
  <si>
    <t xml:space="preserve">martinez.franco.et21.25@gmail.com</t>
  </si>
  <si>
    <t xml:space="preserve">francomartinez@alu.edu.ar</t>
  </si>
  <si>
    <t xml:space="preserve">Pcia.Bs. As.</t>
  </si>
  <si>
    <t xml:space="preserve">Las Heras 3686</t>
  </si>
  <si>
    <t xml:space="preserve">https://docs.google.com/spreadsheets/d/1yFPSqF5FxurYxLK-hQWn6PUDDXnROxT6HcpBaFy-5X4/edit?usp=drivesdk</t>
  </si>
  <si>
    <t xml:space="preserve">Martinez Costa</t>
  </si>
  <si>
    <t xml:space="preserve">Uma</t>
  </si>
  <si>
    <t xml:space="preserve">52.718.220</t>
  </si>
  <si>
    <t xml:space="preserve">28/08/2012</t>
  </si>
  <si>
    <t xml:space="preserve">martinezcosta.uma.et21.26@gmail.com</t>
  </si>
  <si>
    <t xml:space="preserve">Buenos Aires</t>
  </si>
  <si>
    <t xml:space="preserve">BUENOS AIRES</t>
  </si>
  <si>
    <t xml:space="preserve">, Alejandra Evelin</t>
  </si>
  <si>
    <t xml:space="preserve">COSTA</t>
  </si>
  <si>
    <t xml:space="preserve">1132503087 (Madre)</t>
  </si>
  <si>
    <t xml:space="preserve">alejandraecosta@gmail.com</t>
  </si>
  <si>
    <t xml:space="preserve">Frías, Pablo Alberto</t>
  </si>
  <si>
    <t xml:space="preserve">https://docs.google.com/spreadsheets/d/1fW-QgMHYMgroUc2aFXa32bBebR-Z-Zm2Qc5ox8p0PwU/edit?usp=drivesdk</t>
  </si>
  <si>
    <t xml:space="preserve">Martinez nuñez</t>
  </si>
  <si>
    <t xml:space="preserve">Santiago</t>
  </si>
  <si>
    <t xml:space="preserve">santiago.martinez.et21.21@gmail.com</t>
  </si>
  <si>
    <t xml:space="preserve">Neuquen</t>
  </si>
  <si>
    <t xml:space="preserve">Leticia</t>
  </si>
  <si>
    <t xml:space="preserve">Nuñez Bustos</t>
  </si>
  <si>
    <t xml:space="preserve">11 2308 1655</t>
  </si>
  <si>
    <t xml:space="preserve">nblety@gmail.com</t>
  </si>
  <si>
    <t xml:space="preserve">TN</t>
  </si>
  <si>
    <t xml:space="preserve">Arosa, Mariangeles</t>
  </si>
  <si>
    <t xml:space="preserve">https://docs.google.com/spreadsheets/d/1pbj5VSSwAXqtDFo-1wcxma7PlatVzio1i74FMO2xBqk/edit?usp=drivesdk</t>
  </si>
  <si>
    <t xml:space="preserve">Mateos</t>
  </si>
  <si>
    <t xml:space="preserve">Julián</t>
  </si>
  <si>
    <t xml:space="preserve">mateos.julian.et21.22@gmail.com</t>
  </si>
  <si>
    <t xml:space="preserve">mateosjulian499@gmail.com</t>
  </si>
  <si>
    <t xml:space="preserve">Dr Pedro Rivera 3478</t>
  </si>
  <si>
    <t xml:space="preserve">Carlos Alberto </t>
  </si>
  <si>
    <t xml:space="preserve">arqcarlosmateos@gmail.com</t>
  </si>
  <si>
    <t xml:space="preserve">Ana María</t>
  </si>
  <si>
    <t xml:space="preserve">Kettle </t>
  </si>
  <si>
    <t xml:space="preserve">anamaria.kettle@gmail.com</t>
  </si>
  <si>
    <t xml:space="preserve">FABBIAN HERNÁN</t>
  </si>
  <si>
    <t xml:space="preserve">https://docs.google.com/spreadsheets/d/1XxP6MUZHQnHKs188DQw31evbMmtMdNsDCO-RHGDhpDM/edit?usp=drivesdk</t>
  </si>
  <si>
    <t xml:space="preserve">Maximov Lambre</t>
  </si>
  <si>
    <t xml:space="preserve">Ivan</t>
  </si>
  <si>
    <t xml:space="preserve">Argentino</t>
  </si>
  <si>
    <t xml:space="preserve">24/01/2013</t>
  </si>
  <si>
    <t xml:space="preserve">maximov.ivan.et21.26@gmail.com</t>
  </si>
  <si>
    <t xml:space="preserve">Georgina</t>
  </si>
  <si>
    <t xml:space="preserve">Lambre (Madre)</t>
  </si>
  <si>
    <t xml:space="preserve">georginalambre@gmail.com</t>
  </si>
  <si>
    <t xml:space="preserve">Aloma, Norma Mabel</t>
  </si>
  <si>
    <t xml:space="preserve">https://docs.google.com/spreadsheets/d/1jiqPUKjcYxN__ISkl4hWaiXdM2k3eBcbU1SYPZKJk_Y/edit?usp=drivesdk</t>
  </si>
  <si>
    <t xml:space="preserve">Mayorga</t>
  </si>
  <si>
    <t xml:space="preserve">Mateo</t>
  </si>
  <si>
    <t xml:space="preserve">15/07/2011</t>
  </si>
  <si>
    <t xml:space="preserve">mayorga.mateo.et21.25@gmail.com</t>
  </si>
  <si>
    <t xml:space="preserve">aliu@com</t>
  </si>
  <si>
    <t xml:space="preserve">Bs As (Vte Lopez)</t>
  </si>
  <si>
    <t xml:space="preserve">NO</t>
  </si>
  <si>
    <t xml:space="preserve">Nadina</t>
  </si>
  <si>
    <t xml:space="preserve">Forbes</t>
  </si>
  <si>
    <t xml:space="preserve">1559479059 (Madre)</t>
  </si>
  <si>
    <t xml:space="preserve">mayo7@hotmail.com</t>
  </si>
  <si>
    <t xml:space="preserve">1564576754 (Padre)</t>
  </si>
  <si>
    <t xml:space="preserve">Corroborar mail si es de mamá o papá</t>
  </si>
  <si>
    <t xml:space="preserve">García Osorio, Patricia</t>
  </si>
  <si>
    <t xml:space="preserve">https://docs.google.com/spreadsheets/d/1RSzADnKOJwF_fOi20iQHn1JQAtCcpmdSV5b-Re1Thpk/edit?usp=drivesdk</t>
  </si>
  <si>
    <t xml:space="preserve">Medela</t>
  </si>
  <si>
    <t xml:space="preserve">Demian</t>
  </si>
  <si>
    <t xml:space="preserve">23/05/2008</t>
  </si>
  <si>
    <t xml:space="preserve">demian.medela.et21.21@gmail.com</t>
  </si>
  <si>
    <t xml:space="preserve">Provincia de Buenos Aires</t>
  </si>
  <si>
    <t xml:space="preserve">Vicente Lopez</t>
  </si>
  <si>
    <t xml:space="preserve">Lavalle 1494</t>
  </si>
  <si>
    <t xml:space="preserve">Nadia </t>
  </si>
  <si>
    <t xml:space="preserve">Herrera</t>
  </si>
  <si>
    <t xml:space="preserve">nadixher@gmail.com</t>
  </si>
  <si>
    <t xml:space="preserve">Miranda, Gabriel</t>
  </si>
  <si>
    <t xml:space="preserve">https://docs.google.com/spreadsheets/d/1GchOe5ZDJOYV-FjQvMjZ9O58ErS3sIPM79bdWESJLd0/edit?usp=drivesdk</t>
  </si>
  <si>
    <t xml:space="preserve">Medina</t>
  </si>
  <si>
    <t xml:space="preserve">Enzo Gabriel</t>
  </si>
  <si>
    <t xml:space="preserve">52.392.183</t>
  </si>
  <si>
    <t xml:space="preserve">24/04/2012</t>
  </si>
  <si>
    <t xml:space="preserve">medina.enzo.et21.25@gmail.com</t>
  </si>
  <si>
    <t xml:space="preserve">ALU@G</t>
  </si>
  <si>
    <t xml:space="preserve">Bs As (Avellaneda)</t>
  </si>
  <si>
    <t xml:space="preserve"> Lucia</t>
  </si>
  <si>
    <t xml:space="preserve">Martínez Monzon</t>
  </si>
  <si>
    <t xml:space="preserve">1161550385 (Madre)</t>
  </si>
  <si>
    <t xml:space="preserve">luciamartinezmm2010@gmail.com</t>
  </si>
  <si>
    <t xml:space="preserve">1544770066 (Hermano)</t>
  </si>
  <si>
    <t xml:space="preserve">https://docs.google.com/spreadsheets/d/1Ott0wQ9Tx-I_NXsA1bOB524S3AGJDI79aal9ZUtXKEg/edit?usp=drivesdk</t>
  </si>
  <si>
    <t xml:space="preserve">Medio</t>
  </si>
  <si>
    <t xml:space="preserve">Mia Jazmin</t>
  </si>
  <si>
    <t xml:space="preserve">17/07/10</t>
  </si>
  <si>
    <t xml:space="preserve">mia.medio.et21.24@gmail.com</t>
  </si>
  <si>
    <t xml:space="preserve">Holmberg 3709</t>
  </si>
  <si>
    <t xml:space="preserve">Maria de los Angeles</t>
  </si>
  <si>
    <t xml:space="preserve">Chianelli</t>
  </si>
  <si>
    <t xml:space="preserve">mari.medi@hotmail.com</t>
  </si>
  <si>
    <t xml:space="preserve">Marmisolle, Pamela</t>
  </si>
  <si>
    <t xml:space="preserve">https://docs.google.com/spreadsheets/d/1huC_MgOf8j1WxV5IJZG-BeYOt3cqiNV2HRIG6b8iTMQ/edit?usp=drivesdk</t>
  </si>
  <si>
    <t xml:space="preserve">Medovoy</t>
  </si>
  <si>
    <t xml:space="preserve">Juanse</t>
  </si>
  <si>
    <t xml:space="preserve">14/08/10</t>
  </si>
  <si>
    <t xml:space="preserve">medovoy.juanse.et21.24@gmail.com</t>
  </si>
  <si>
    <t xml:space="preserve">juanm8171@alu.bue.edu.ar</t>
  </si>
  <si>
    <t xml:space="preserve">Buenps Aires</t>
  </si>
  <si>
    <t xml:space="preserve">Avellaneda</t>
  </si>
  <si>
    <t xml:space="preserve">Solier 4480</t>
  </si>
  <si>
    <t xml:space="preserve">Carina</t>
  </si>
  <si>
    <t xml:space="preserve">Barrios</t>
  </si>
  <si>
    <t xml:space="preserve">11 63045647</t>
  </si>
  <si>
    <t xml:space="preserve">caribariios1@hotgmail.com</t>
  </si>
  <si>
    <t xml:space="preserve">Mariano</t>
  </si>
  <si>
    <t xml:space="preserve">Rabinovich</t>
  </si>
  <si>
    <t xml:space="preserve">11 44203556</t>
  </si>
  <si>
    <t xml:space="preserve">marmaruno@hotmail.com</t>
  </si>
  <si>
    <t xml:space="preserve">Coronel, Paola</t>
  </si>
  <si>
    <t xml:space="preserve">https://docs.google.com/spreadsheets/d/1eTtePbXk7Jv4L-QYt5vF1LacRk-74w9iNlUkU224uyc/edit?usp=drivesdk</t>
  </si>
  <si>
    <t xml:space="preserve">Meijide</t>
  </si>
  <si>
    <t xml:space="preserve">Federico</t>
  </si>
  <si>
    <t xml:space="preserve">argentina</t>
  </si>
  <si>
    <t xml:space="preserve">16/6/2011</t>
  </si>
  <si>
    <t xml:space="preserve">meijide.federico.et21.24@gmail.com</t>
  </si>
  <si>
    <t xml:space="preserve">federicom432@alu.bue.edu.ar</t>
  </si>
  <si>
    <t xml:space="preserve">villa urquiza</t>
  </si>
  <si>
    <t xml:space="preserve">burela 3547</t>
  </si>
  <si>
    <t xml:space="preserve">adriana</t>
  </si>
  <si>
    <t xml:space="preserve">vanin</t>
  </si>
  <si>
    <t xml:space="preserve">11 5454 5072</t>
  </si>
  <si>
    <t xml:space="preserve">adrianamvanin@gmail.com</t>
  </si>
  <si>
    <t xml:space="preserve">fernando</t>
  </si>
  <si>
    <t xml:space="preserve">meijide</t>
  </si>
  <si>
    <t xml:space="preserve">11 5765 1929</t>
  </si>
  <si>
    <t xml:space="preserve">fernandomei@yahoo.com.ar</t>
  </si>
  <si>
    <t xml:space="preserve">nada que agregar</t>
  </si>
  <si>
    <t xml:space="preserve">Carnero, Silvia</t>
  </si>
  <si>
    <t xml:space="preserve">https://docs.google.com/spreadsheets/d/1RkAiQwijw4CMoxCWkLLUnGQwOCGa75RliqxWpZYwM5c/edit?usp=drivesdk</t>
  </si>
  <si>
    <t xml:space="preserve">Meijide García</t>
  </si>
  <si>
    <t xml:space="preserve">Nicolás</t>
  </si>
  <si>
    <t xml:space="preserve">13/5/2009</t>
  </si>
  <si>
    <t xml:space="preserve">meijide.nicolas.et21.22@gmail.com</t>
  </si>
  <si>
    <t xml:space="preserve">NicolasM195@alu.bue.edu.ar</t>
  </si>
  <si>
    <t xml:space="preserve">Burela 3547</t>
  </si>
  <si>
    <t xml:space="preserve">Adriana</t>
  </si>
  <si>
    <t xml:space="preserve">Vanin</t>
  </si>
  <si>
    <t xml:space="preserve">Fernando</t>
  </si>
  <si>
    <t xml:space="preserve">Rodriguez, Leopoldo</t>
  </si>
  <si>
    <t xml:space="preserve">https://docs.google.com/spreadsheets/d/1wrUF9DSTGIjbnck7VgcgxymnZzjjIMlgznMrAP-FzEw/edit?usp=drivesdk</t>
  </si>
  <si>
    <t xml:space="preserve">Miceli</t>
  </si>
  <si>
    <t xml:space="preserve">Benicio Jeronimo</t>
  </si>
  <si>
    <t xml:space="preserve">SIN DATOS</t>
  </si>
  <si>
    <t xml:space="preserve">13/05/2012</t>
  </si>
  <si>
    <t xml:space="preserve">miceli.benicio.et21.25@gmail.com</t>
  </si>
  <si>
    <t xml:space="preserve">beniciom2771@alu.bue.edu.ar</t>
  </si>
  <si>
    <t xml:space="preserve">Maria Eva</t>
  </si>
  <si>
    <t xml:space="preserve">Anitua</t>
  </si>
  <si>
    <t xml:space="preserve">Acosta Eduardo</t>
  </si>
  <si>
    <t xml:space="preserve">https://docs.google.com/spreadsheets/d/11-oDXS_a5r43wB7Hz3shISL713b1YJxudrqgBwYfcyM/edit?usp=drivesdk</t>
  </si>
  <si>
    <t xml:space="preserve">Miculan (Bruzzo)</t>
  </si>
  <si>
    <t xml:space="preserve">Ian</t>
  </si>
  <si>
    <t xml:space="preserve">ARGNEITNO</t>
  </si>
  <si>
    <t xml:space="preserve">bruzzo.ian.et21.26@gmail.com</t>
  </si>
  <si>
    <t xml:space="preserve">BS AS</t>
  </si>
  <si>
    <t xml:space="preserve">VILLA MAIPU</t>
  </si>
  <si>
    <t xml:space="preserve">FRENCH 1435</t>
  </si>
  <si>
    <t xml:space="preserve">A</t>
  </si>
  <si>
    <t xml:space="preserve">DANIELA ESTER</t>
  </si>
  <si>
    <t xml:space="preserve">BRUZZO</t>
  </si>
  <si>
    <t xml:space="preserve">D´Alessandro, Andreina</t>
  </si>
  <si>
    <t xml:space="preserve">https://docs.google.com/spreadsheets/d/1mp4IsyqsEVigw4_deuKMyuY86vdIq23HP-J2H8ZwKuY/edit?usp=drivesdk</t>
  </si>
  <si>
    <t xml:space="preserve">Migliaro</t>
  </si>
  <si>
    <t xml:space="preserve">Felipe</t>
  </si>
  <si>
    <t xml:space="preserve">migliaro.felipe.et21.24@gmail.com</t>
  </si>
  <si>
    <t xml:space="preserve">felipem523@alu.bue.edu.ar</t>
  </si>
  <si>
    <t xml:space="preserve">Pcia de BsAs</t>
  </si>
  <si>
    <t xml:space="preserve">Florida</t>
  </si>
  <si>
    <t xml:space="preserve">Melo 2610</t>
  </si>
  <si>
    <t xml:space="preserve">Pablo</t>
  </si>
  <si>
    <t xml:space="preserve">11 6832-7955</t>
  </si>
  <si>
    <t xml:space="preserve">pmigliaro76@gmail.com</t>
  </si>
  <si>
    <t xml:space="preserve">https://docs.google.com/spreadsheets/d/1x6miuEUft3JgKBjnaTfzUDbOTJMGIPcQO2UOMU9VBnE/edit?usp=drivesdk</t>
  </si>
  <si>
    <t xml:space="preserve">Moauro</t>
  </si>
  <si>
    <t xml:space="preserve">Benjamin</t>
  </si>
  <si>
    <t xml:space="preserve">argentino</t>
  </si>
  <si>
    <t xml:space="preserve">26/01/2011</t>
  </si>
  <si>
    <t xml:space="preserve">moauro.benja.et21.24@gmail.com</t>
  </si>
  <si>
    <t xml:space="preserve">belgrano r</t>
  </si>
  <si>
    <t xml:space="preserve">monroe 3226</t>
  </si>
  <si>
    <t xml:space="preserve">carola</t>
  </si>
  <si>
    <t xml:space="preserve">bolla agrelo</t>
  </si>
  <si>
    <t xml:space="preserve">cbabochi@yahoo.com</t>
  </si>
  <si>
    <t xml:space="preserve">https://docs.google.com/spreadsheets/d/119l5BK7Omy96HaMZtOXBZk9vGxGoXFCkRAWeKLOotRA/edit?usp=drivesdk</t>
  </si>
  <si>
    <t xml:space="preserve">Santino</t>
  </si>
  <si>
    <t xml:space="preserve">argentino </t>
  </si>
  <si>
    <t xml:space="preserve">31/10/2008</t>
  </si>
  <si>
    <t xml:space="preserve">moauro.santino.et21.22@gmail.com</t>
  </si>
  <si>
    <t xml:space="preserve">@alu.bue.ar</t>
  </si>
  <si>
    <t xml:space="preserve">CABA, buenos aires </t>
  </si>
  <si>
    <t xml:space="preserve">Belgrano </t>
  </si>
  <si>
    <t xml:space="preserve">av monroe 3226</t>
  </si>
  <si>
    <t xml:space="preserve">carola </t>
  </si>
  <si>
    <t xml:space="preserve">cbabochi@gmail.com</t>
  </si>
  <si>
    <t xml:space="preserve">https://docs.google.com/spreadsheets/d/1cJ5ZimMP0s8EY0p6HWOTcrBNAfCjmcfsGia7HzHhM7M/edit?usp=drivesdk</t>
  </si>
  <si>
    <t xml:space="preserve">Molina</t>
  </si>
  <si>
    <t xml:space="preserve">Luis Antonio</t>
  </si>
  <si>
    <t xml:space="preserve">23/08/1981</t>
  </si>
  <si>
    <t xml:space="preserve">molina.luis.et21.26@gmail.com</t>
  </si>
  <si>
    <t xml:space="preserve">molinalucho1981@gmail.com</t>
  </si>
  <si>
    <t xml:space="preserve">romulo naon 3553</t>
  </si>
  <si>
    <t xml:space="preserve">Luis</t>
  </si>
  <si>
    <t xml:space="preserve">Spuches, Marina</t>
  </si>
  <si>
    <t xml:space="preserve">https://docs.google.com/spreadsheets/d/1OFsp4Ea1Oaxxji-NC2uzqZFBZyb_KgcXGhQCHm4N-Y8/edit?usp=drivesdk</t>
  </si>
  <si>
    <t xml:space="preserve">Santino Tahiel</t>
  </si>
  <si>
    <t xml:space="preserve">molina.santino.et21.26@gmail.com</t>
  </si>
  <si>
    <t xml:space="preserve">1157605706 (Madre)</t>
  </si>
  <si>
    <t xml:space="preserve">claudiasantino123@gmail.com</t>
  </si>
  <si>
    <t xml:space="preserve">1140902346 (Padre)</t>
  </si>
  <si>
    <t xml:space="preserve">https://docs.google.com/spreadsheets/d/1XH9hYetTGR07ivrJXYGBgC45lN_K9aVqQf2g49lk3jY/edit?usp=drivesdk</t>
  </si>
  <si>
    <t xml:space="preserve">Tomás</t>
  </si>
  <si>
    <t xml:space="preserve">13/05/12</t>
  </si>
  <si>
    <t xml:space="preserve">molina.tomas.et21.25@gmail.com</t>
  </si>
  <si>
    <t xml:space="preserve">Provincia de BS. As.</t>
  </si>
  <si>
    <t xml:space="preserve">Vicente López </t>
  </si>
  <si>
    <t xml:space="preserve"> Corroborar con alumno</t>
  </si>
  <si>
    <t xml:space="preserve">Corroborar con alumno</t>
  </si>
  <si>
    <t xml:space="preserve">María Florencia </t>
  </si>
  <si>
    <t xml:space="preserve">Cruz</t>
  </si>
  <si>
    <t xml:space="preserve">florencia76@hotmail.com</t>
  </si>
  <si>
    <t xml:space="preserve">Martin </t>
  </si>
  <si>
    <t xml:space="preserve">Molina </t>
  </si>
  <si>
    <t xml:space="preserve">martinhmolina@hotmail.com</t>
  </si>
  <si>
    <t xml:space="preserve">Prats, Alejandro</t>
  </si>
  <si>
    <t xml:space="preserve">https://docs.google.com/spreadsheets/d/1TAzXdbqax74l9_C8JtUTMr1fOpDBWogiZpMOrOHtciw/edit?usp=drivesdk</t>
  </si>
  <si>
    <t xml:space="preserve">Montenegro</t>
  </si>
  <si>
    <t xml:space="preserve">Thiago</t>
  </si>
  <si>
    <t xml:space="preserve">thiago.montenegro.et21.22@gmail.com</t>
  </si>
  <si>
    <t xml:space="preserve">thiagom522@alu.bue.edu.ar</t>
  </si>
  <si>
    <t xml:space="preserve">Villa Urquiza </t>
  </si>
  <si>
    <t xml:space="preserve">Holmberg 3435 </t>
  </si>
  <si>
    <t xml:space="preserve">Gustavo </t>
  </si>
  <si>
    <t xml:space="preserve">montenegro.gustavo@hotmail.com</t>
  </si>
  <si>
    <t xml:space="preserve">Vanina</t>
  </si>
  <si>
    <t xml:space="preserve">Rivera</t>
  </si>
  <si>
    <t xml:space="preserve">rivera_vanina@hotmail.com</t>
  </si>
  <si>
    <t xml:space="preserve">https://docs.google.com/spreadsheets/d/1B9xeOaFvKIpbYMrCvdFDveMKqqjS2DmO3r23wmX4ulQ/edit?usp=drivesdk</t>
  </si>
  <si>
    <t xml:space="preserve">Montenegro Villagran</t>
  </si>
  <si>
    <t xml:space="preserve">Tomas Agustin</t>
  </si>
  <si>
    <t xml:space="preserve">19/02/2012</t>
  </si>
  <si>
    <t xml:space="preserve">montenegro.tomas.et21.25@gmail.com</t>
  </si>
  <si>
    <t xml:space="preserve">tomasm202@alu.bue.edu.ar</t>
  </si>
  <si>
    <t xml:space="preserve">https://docs.google.com/spreadsheets/d/1Lgo7A3ytcSl-XDy8EtaLjestmK2MUx5RbhQzHg6xR7M/edit?usp=drivesdk</t>
  </si>
  <si>
    <t xml:space="preserve">Montes Barthel</t>
  </si>
  <si>
    <t xml:space="preserve">Emma</t>
  </si>
  <si>
    <t xml:space="preserve">montes.emma.et21.25@gmail.com</t>
  </si>
  <si>
    <t xml:space="preserve">emmam509@alu.bue.edu.ar</t>
  </si>
  <si>
    <t xml:space="preserve">Roque Pérez 4385</t>
  </si>
  <si>
    <t xml:space="preserve">Paula</t>
  </si>
  <si>
    <t xml:space="preserve">Carbajales</t>
  </si>
  <si>
    <t xml:space="preserve">Carbajales, Paula</t>
  </si>
  <si>
    <t xml:space="preserve">https://docs.google.com/spreadsheets/d/13n_q08Z6OAcMtTTUQLS5S8_hvy-p4-mYK9iFhcOg4jI/edit?usp=drivesdk</t>
  </si>
  <si>
    <t xml:space="preserve">20/4/26</t>
  </si>
  <si>
    <t xml:space="preserve">julian.momtes.et21.23@gmail.com</t>
  </si>
  <si>
    <t xml:space="preserve">julianmontbarth@gmail.com</t>
  </si>
  <si>
    <t xml:space="preserve">CGP12, Saavedra </t>
  </si>
  <si>
    <t xml:space="preserve">Mario Omar </t>
  </si>
  <si>
    <t xml:space="preserve">Montes</t>
  </si>
  <si>
    <t xml:space="preserve">montesmarioomar@gmail.com </t>
  </si>
  <si>
    <t xml:space="preserve">Carla Romina </t>
  </si>
  <si>
    <t xml:space="preserve">Romina </t>
  </si>
  <si>
    <t xml:space="preserve">crbarthel2@gmail.com</t>
  </si>
  <si>
    <t xml:space="preserve">Rondo Condori, Alejandro</t>
  </si>
  <si>
    <t xml:space="preserve">https://docs.google.com/spreadsheets/d/1CCTVSLoo0dQJjWiUtcmTT3MVCxAcWuoDLlm2SNjR6Cs/edit?usp=drivesdk</t>
  </si>
  <si>
    <t xml:space="preserve">Morales</t>
  </si>
  <si>
    <t xml:space="preserve">Eliseo Emanuel</t>
  </si>
  <si>
    <t xml:space="preserve">morales.eliseo.et21.26@gmail.com</t>
  </si>
  <si>
    <t xml:space="preserve">alu.com.ar</t>
  </si>
  <si>
    <t xml:space="preserve">AMBA</t>
  </si>
  <si>
    <t xml:space="preserve">Tres de febrero</t>
  </si>
  <si>
    <t xml:space="preserve">Yesica Natalia</t>
  </si>
  <si>
    <t xml:space="preserve">Loyola</t>
  </si>
  <si>
    <t xml:space="preserve">natyloyola0906@gmail.com</t>
  </si>
  <si>
    <t xml:space="preserve">González Novarin, Johanna</t>
  </si>
  <si>
    <t xml:space="preserve">https://docs.google.com/spreadsheets/d/1o9RhcQFydAAZsQffbIxgdXOfMTdho_SFBmrLCBLbp4M/edit?usp=drivesdk</t>
  </si>
  <si>
    <t xml:space="preserve">Morales Arrieta</t>
  </si>
  <si>
    <t xml:space="preserve">Lucas Benjamin</t>
  </si>
  <si>
    <t xml:space="preserve">arrieta.lucas.et21.26@gmail.com</t>
  </si>
  <si>
    <t xml:space="preserve">lucas.arrietaet36@gmail.com</t>
  </si>
  <si>
    <t xml:space="preserve">Joaquín v Gonzáles </t>
  </si>
  <si>
    <t xml:space="preserve">Laura</t>
  </si>
  <si>
    <t xml:space="preserve">Arrieta</t>
  </si>
  <si>
    <t xml:space="preserve">lau.arrieta37@gmail.com</t>
  </si>
  <si>
    <t xml:space="preserve">Torres, Carlos Alberto</t>
  </si>
  <si>
    <t xml:space="preserve">https://docs.google.com/spreadsheets/d/15nvRm8SN0QXHNVbvydKe1MMzMqkjiNQ51eJHmHwRofk/edit?usp=drivesdk</t>
  </si>
  <si>
    <t xml:space="preserve">https://drive.google.com/drive/folders/1oVZYT1yPNZnXLNdlHXbF_6MVref3-L-C</t>
  </si>
  <si>
    <t xml:space="preserve">Morel Landero</t>
  </si>
  <si>
    <t xml:space="preserve">Agustin</t>
  </si>
  <si>
    <t xml:space="preserve">ARGENTINO</t>
  </si>
  <si>
    <t xml:space="preserve">agustin.morel.et21.26@gmail.com</t>
  </si>
  <si>
    <t xml:space="preserve">Agustinm367@alu.bue.edu.ar</t>
  </si>
  <si>
    <t xml:space="preserve">Serrano</t>
  </si>
  <si>
    <t xml:space="preserve">Serrano 439</t>
  </si>
  <si>
    <t xml:space="preserve">María </t>
  </si>
  <si>
    <t xml:space="preserve">Landeo</t>
  </si>
  <si>
    <t xml:space="preserve">Mary_nery26@hotmail.com</t>
  </si>
  <si>
    <t xml:space="preserve">Desiderio </t>
  </si>
  <si>
    <t xml:space="preserve">Morel</t>
  </si>
  <si>
    <t xml:space="preserve">11 5583 6127</t>
  </si>
  <si>
    <t xml:space="preserve">Desideriomorel123@gmail.com</t>
  </si>
  <si>
    <t xml:space="preserve">iPod acustico</t>
  </si>
  <si>
    <t xml:space="preserve">https://docs.google.com/spreadsheets/d/1DHXE418ezPiY4OpwKRVA_o3x8KP3Xq6vzYbFFU9NqHg/edit?usp=drivesdk</t>
  </si>
  <si>
    <t xml:space="preserve">Muñoz</t>
  </si>
  <si>
    <t xml:space="preserve">Santino Martin</t>
  </si>
  <si>
    <t xml:space="preserve">matias.munoz.et21.25@gmail.com</t>
  </si>
  <si>
    <t xml:space="preserve">NN</t>
  </si>
  <si>
    <t xml:space="preserve">Verónica</t>
  </si>
  <si>
    <t xml:space="preserve">Balor</t>
  </si>
  <si>
    <t xml:space="preserve">veronicaa.balor@bue.edu.ar</t>
  </si>
  <si>
    <t xml:space="preserve">https://docs.google.com/spreadsheets/d/1W2muwJnu5kh01ooEdoJlpJgZaHZQQcmWPgznCNBhG9g/edit?usp=drivesdk</t>
  </si>
  <si>
    <t xml:space="preserve">Naftilsan Sobrino</t>
  </si>
  <si>
    <t xml:space="preserve"> Teo</t>
  </si>
  <si>
    <t xml:space="preserve">nsobrino.teo.et21.26@gmail.com</t>
  </si>
  <si>
    <t xml:space="preserve">Buenos Aires, Caba</t>
  </si>
  <si>
    <t xml:space="preserve">V.pueyrredon</t>
  </si>
  <si>
    <t xml:space="preserve">Bazurco 3105 dto C</t>
  </si>
  <si>
    <t xml:space="preserve">Marina Ivana </t>
  </si>
  <si>
    <t xml:space="preserve">Sobrino</t>
  </si>
  <si>
    <t xml:space="preserve">marinasobrino1@gmail.com</t>
  </si>
  <si>
    <t xml:space="preserve">Gustavo Daniel</t>
  </si>
  <si>
    <t xml:space="preserve"> Naftilsan</t>
  </si>
  <si>
    <t xml:space="preserve"> gustavoalepersonal@gmail.com</t>
  </si>
  <si>
    <t xml:space="preserve">https://docs.google.com/spreadsheets/d/1_lKnNM6675jXTqnwO-xalNym3PC-gE_s3hTW4RofBzc/edit?usp=drivesdk</t>
  </si>
  <si>
    <t xml:space="preserve">https://drive.google.com/drive/folders/1j9L8oBZXmaOQ0PzTDKoEtrX_qLU0c-GO</t>
  </si>
  <si>
    <t xml:space="preserve">Neumann</t>
  </si>
  <si>
    <t xml:space="preserve">Esteban</t>
  </si>
  <si>
    <t xml:space="preserve">14/08/2010</t>
  </si>
  <si>
    <t xml:space="preserve">esteban.neumann.et21.24@gmail.com</t>
  </si>
  <si>
    <t xml:space="preserve">CABA, Coghlan</t>
  </si>
  <si>
    <t xml:space="preserve">Melian2738</t>
  </si>
  <si>
    <t xml:space="preserve">Betina</t>
  </si>
  <si>
    <t xml:space="preserve">Ragni</t>
  </si>
  <si>
    <t xml:space="preserve">11 6808-8304</t>
  </si>
  <si>
    <t xml:space="preserve">betinaragni@yahoo.com.ar</t>
  </si>
  <si>
    <t xml:space="preserve">Adrian</t>
  </si>
  <si>
    <t xml:space="preserve">11 3030-5376</t>
  </si>
  <si>
    <t xml:space="preserve">raneumann02@yahoo.com.ar</t>
  </si>
  <si>
    <t xml:space="preserve">Brackets</t>
  </si>
  <si>
    <t xml:space="preserve">https://docs.google.com/spreadsheets/d/1f5opm4E-vL9iaQuDM8PkKgFWCCsSFr6Bdb0Y1Cvm37U/edit?usp=drivesdk</t>
  </si>
  <si>
    <t xml:space="preserve">Noel</t>
  </si>
  <si>
    <t xml:space="preserve">Lisandro</t>
  </si>
  <si>
    <t xml:space="preserve">22/4/2013</t>
  </si>
  <si>
    <t xml:space="preserve">noel.lisandro.et21.26@gmail.com</t>
  </si>
  <si>
    <t xml:space="preserve"> Gabriela</t>
  </si>
  <si>
    <t xml:space="preserve">arrato</t>
  </si>
  <si>
    <t xml:space="preserve">gabriela.aratto@gmail.com</t>
  </si>
  <si>
    <t xml:space="preserve">https://docs.google.com/spreadsheets/d/1kPwxOdwYH6R5xb5fl40Awvh87iVuA1pg4194idzq3wM/edit?usp=drivesdk</t>
  </si>
  <si>
    <t xml:space="preserve">Nuñez</t>
  </si>
  <si>
    <t xml:space="preserve">Aylen</t>
  </si>
  <si>
    <t xml:space="preserve">18/08/11</t>
  </si>
  <si>
    <t xml:space="preserve">nunca.aylen.et21.25@gmail.com</t>
  </si>
  <si>
    <t xml:space="preserve">aylendai876@gmail.com</t>
  </si>
  <si>
    <t xml:space="preserve"> Corroborar con alumna</t>
  </si>
  <si>
    <t xml:space="preserve">Corroborar con alumna </t>
  </si>
  <si>
    <t xml:space="preserve">Perla </t>
  </si>
  <si>
    <t xml:space="preserve">Britez</t>
  </si>
  <si>
    <t xml:space="preserve">britezperla716@gmail.com</t>
  </si>
  <si>
    <t xml:space="preserve">Papá </t>
  </si>
  <si>
    <t xml:space="preserve"> </t>
  </si>
  <si>
    <t xml:space="preserve">https://docs.google.com/spreadsheets/d/1kvUq8Ds4ngWP_pAaZ-oHQcrJojLcCr3lUXIVPzevKYM/edit?usp=drivesdk</t>
  </si>
  <si>
    <t xml:space="preserve">Nuñez Barral</t>
  </si>
  <si>
    <t xml:space="preserve">Delfina</t>
  </si>
  <si>
    <t xml:space="preserve">26/08/2010</t>
  </si>
  <si>
    <t xml:space="preserve">delfi.barral.et21.24@gmail.com</t>
  </si>
  <si>
    <t xml:space="preserve">@alu.web.edu.ar</t>
  </si>
  <si>
    <t xml:space="preserve">Provincia de Bs As</t>
  </si>
  <si>
    <t xml:space="preserve">San Martin</t>
  </si>
  <si>
    <t xml:space="preserve">Julio a. roca 1690</t>
  </si>
  <si>
    <t xml:space="preserve">Leonardo Esteban</t>
  </si>
  <si>
    <t xml:space="preserve">leonardoestebanapm@gmail.com</t>
  </si>
  <si>
    <t xml:space="preserve">Maria Jose</t>
  </si>
  <si>
    <t xml:space="preserve">Barral</t>
  </si>
  <si>
    <t xml:space="preserve">mariajosebarralpsi@gmail.com</t>
  </si>
  <si>
    <t xml:space="preserve">https://docs.google.com/spreadsheets/d/1MlYb9dqKaqY4ZphSazt1QHURgZ0VbkQXhBR-VtZszR8/edit?usp=drivesdk</t>
  </si>
  <si>
    <t xml:space="preserve">Joaquin</t>
  </si>
  <si>
    <t xml:space="preserve">joaco.nunez.et21.22@gmail.com</t>
  </si>
  <si>
    <t xml:space="preserve">San martin</t>
  </si>
  <si>
    <t xml:space="preserve">Villa maipu</t>
  </si>
  <si>
    <t xml:space="preserve">J.a. roca 1690</t>
  </si>
  <si>
    <t xml:space="preserve">Leonardo</t>
  </si>
  <si>
    <t xml:space="preserve">Leonardoestebanapm@gmail.com</t>
  </si>
  <si>
    <t xml:space="preserve">Maria jose</t>
  </si>
  <si>
    <t xml:space="preserve">Mariajosebarralpsi@gmail.com</t>
  </si>
  <si>
    <t xml:space="preserve">PAWLIK ADRIAN</t>
  </si>
  <si>
    <t xml:space="preserve">https://docs.google.com/spreadsheets/d/18rTP3CkhSXunrWrUwlcu_6wTvGZuwbzCsW6CXR9McBA/edit?usp=drivesdk</t>
  </si>
  <si>
    <t xml:space="preserve">Nuñez Obermeister</t>
  </si>
  <si>
    <t xml:space="preserve">Celeste Magali</t>
  </si>
  <si>
    <t xml:space="preserve">28/11/2008</t>
  </si>
  <si>
    <t xml:space="preserve">celeste.nunez.et21.22@gmail.com</t>
  </si>
  <si>
    <t xml:space="preserve">Saavedra </t>
  </si>
  <si>
    <t xml:space="preserve">Amenabar 3672</t>
  </si>
  <si>
    <t xml:space="preserve">Julio </t>
  </si>
  <si>
    <t xml:space="preserve">Obermeister</t>
  </si>
  <si>
    <t xml:space="preserve">julio.+</t>
  </si>
  <si>
    <t xml:space="preserve">https://docs.google.com/spreadsheets/d/1LZQISbA30mTolvZxaUH3FHtsvWoEWnQnZGi7GnodYhA/edit?usp=drivesdk</t>
  </si>
  <si>
    <t xml:space="preserve">Nuñez Ortiz</t>
  </si>
  <si>
    <t xml:space="preserve">Valentina Iara</t>
  </si>
  <si>
    <t xml:space="preserve">14/08/2009</t>
  </si>
  <si>
    <t xml:space="preserve">ortiz.valentina.et21.26@gmail.com</t>
  </si>
  <si>
    <t xml:space="preserve">nuñez.valentina.et21.26@gmail.com</t>
  </si>
  <si>
    <t xml:space="preserve">amenabar 2235</t>
  </si>
  <si>
    <t xml:space="preserve">Doris</t>
  </si>
  <si>
    <t xml:space="preserve">Ortiz Jaramillo</t>
  </si>
  <si>
    <t xml:space="preserve">dorisortiz300@gmail.com</t>
  </si>
  <si>
    <t xml:space="preserve">https://docs.google.com/spreadsheets/d/1dKBmrnfdxO9k5pBAHKr9ENSCsr1Z5RBRXReVJWH-xRI/edit?usp=drivesdk</t>
  </si>
  <si>
    <t xml:space="preserve">Oberlander</t>
  </si>
  <si>
    <t xml:space="preserve">Roman gustavo</t>
  </si>
  <si>
    <t xml:space="preserve">18/04/2008</t>
  </si>
  <si>
    <t xml:space="preserve">roman.oberlander.et21.22@gmail.com</t>
  </si>
  <si>
    <t xml:space="preserve">alu.bue.edu.ar</t>
  </si>
  <si>
    <t xml:space="preserve">Caba</t>
  </si>
  <si>
    <t xml:space="preserve">Caracas 5458</t>
  </si>
  <si>
    <t xml:space="preserve">Julieta.pelagatti@bue.edu.ar</t>
  </si>
  <si>
    <t xml:space="preserve">No tengo ninguna enfermedad/alergia</t>
  </si>
  <si>
    <t xml:space="preserve">https://docs.google.com/spreadsheets/d/1LT-S3YIi3MBVA8XCP1GUyRmd1UGorAMt9Qxt48BJ3-s/edit?usp=drivesdk</t>
  </si>
  <si>
    <t xml:space="preserve">https://drive.google.com/drive/folders/1UqRtQlIJ0R-JyUKW5QIHAqCa5kIZ1LC1</t>
  </si>
  <si>
    <t xml:space="preserve">Ojcius</t>
  </si>
  <si>
    <t xml:space="preserve">Iván</t>
  </si>
  <si>
    <t xml:space="preserve">ojcius.ivan.et21.23@gmail.com</t>
  </si>
  <si>
    <t xml:space="preserve">Vicente López</t>
  </si>
  <si>
    <t xml:space="preserve">José Mármol 3327</t>
  </si>
  <si>
    <t xml:space="preserve">Carla</t>
  </si>
  <si>
    <t xml:space="preserve">Spazzali</t>
  </si>
  <si>
    <t xml:space="preserve">5740-0883</t>
  </si>
  <si>
    <t xml:space="preserve">carla.spazzali@gmail.com</t>
  </si>
  <si>
    <t xml:space="preserve">Jorge</t>
  </si>
  <si>
    <t xml:space="preserve">2831-8001</t>
  </si>
  <si>
    <t xml:space="preserve">ojcius@gmail.com</t>
  </si>
  <si>
    <t xml:space="preserve">No padezco ningún problema de salud crónico.</t>
  </si>
  <si>
    <t xml:space="preserve">https://docs.google.com/spreadsheets/d/1o12NOonwikVuemLTBjo6zqEv1MCOX0tXkHIC6u4E2mc/edit?usp=drivesdk</t>
  </si>
  <si>
    <t xml:space="preserve">Matías</t>
  </si>
  <si>
    <t xml:space="preserve">ojcius.matias.et21.23@gmail.com</t>
  </si>
  <si>
    <t xml:space="preserve">Vicente López, Provincia de Bs.As</t>
  </si>
  <si>
    <t xml:space="preserve">José Marmol 3327</t>
  </si>
  <si>
    <t xml:space="preserve">11 5740 0883</t>
  </si>
  <si>
    <t xml:space="preserve">Jorge Ricardo</t>
  </si>
  <si>
    <t xml:space="preserve">11 2831 8001</t>
  </si>
  <si>
    <t xml:space="preserve">Silva, Enrique Agustín</t>
  </si>
  <si>
    <t xml:space="preserve">https://docs.google.com/spreadsheets/d/1WragKSyLcRelRTxPz8BMV6-CJQxA9Ip4QniJ4VIF5V0/edit?usp=drivesdk</t>
  </si>
  <si>
    <t xml:space="preserve">Lucia</t>
  </si>
  <si>
    <t xml:space="preserve">ojcius.lucia.et21.25@gmail.com</t>
  </si>
  <si>
    <t xml:space="preserve">luciao585@alu.bue.edu.ar</t>
  </si>
  <si>
    <t xml:space="preserve">villa martelli</t>
  </si>
  <si>
    <t xml:space="preserve">Carla </t>
  </si>
  <si>
    <t xml:space="preserve">1528318001 (Padre)</t>
  </si>
  <si>
    <t xml:space="preserve">no</t>
  </si>
  <si>
    <t xml:space="preserve">Welesik,Gladis</t>
  </si>
  <si>
    <t xml:space="preserve">https://docs.google.com/spreadsheets/d/1L5X09-5m7ehzFXIJH7G0H_aEjRcrcOlJi-HFK6pnZ4s/edit?usp=drivesdk</t>
  </si>
  <si>
    <t xml:space="preserve">Ojeda</t>
  </si>
  <si>
    <t xml:space="preserve">Tiziano</t>
  </si>
  <si>
    <t xml:space="preserve">17/0/2011</t>
  </si>
  <si>
    <t xml:space="preserve">OJEDA.TIZIANO.ET21.24@GMAIL.COM</t>
  </si>
  <si>
    <t xml:space="preserve">TIZIANOO061@ALU.BUE.EDU.AR</t>
  </si>
  <si>
    <t xml:space="preserve">POLVORINES</t>
  </si>
  <si>
    <t xml:space="preserve">DANTE AHLIGERI 4654</t>
  </si>
  <si>
    <t xml:space="preserve">LUIS</t>
  </si>
  <si>
    <t xml:space="preserve">OJEDA</t>
  </si>
  <si>
    <t xml:space="preserve">LUISHERNANOJEDA128@GMAIL.COM</t>
  </si>
  <si>
    <t xml:space="preserve">https://docs.google.com/spreadsheets/d/1PgtWFCcj7tINMEAi2PQ7zpPPn0c9FXCI9ehRMZY3ci8/edit?usp=drivesdk</t>
  </si>
  <si>
    <t xml:space="preserve">Alex Ian Ismael</t>
  </si>
  <si>
    <t xml:space="preserve">19/11/2012</t>
  </si>
  <si>
    <t xml:space="preserve">Ojeda.alex.et21.26@gmail.com</t>
  </si>
  <si>
    <t xml:space="preserve">Bs As (San Martin)</t>
  </si>
  <si>
    <t xml:space="preserve">Los polvorines </t>
  </si>
  <si>
    <t xml:space="preserve">Baroni 854</t>
  </si>
  <si>
    <t xml:space="preserve">1122643981 (Madre)</t>
  </si>
  <si>
    <t xml:space="preserve">padillaestefaniaviviana1@gmail.com</t>
  </si>
  <si>
    <t xml:space="preserve">1138406932 (Padre)</t>
  </si>
  <si>
    <t xml:space="preserve">https://docs.google.com/spreadsheets/d/1J26cxbK6XnljjUH7Uhn0p5gmeIxhDbHOTRluZ2RD1TI/edit?usp=drivesdk</t>
  </si>
  <si>
    <t xml:space="preserve">Olivares</t>
  </si>
  <si>
    <t xml:space="preserve">Iara</t>
  </si>
  <si>
    <t xml:space="preserve">27/03/1996</t>
  </si>
  <si>
    <t xml:space="preserve">Iara.olivares.et21.26@gmail.com</t>
  </si>
  <si>
    <t xml:space="preserve">Olivaresiara84@gmail.com</t>
  </si>
  <si>
    <t xml:space="preserve">Pcia de buenos aires </t>
  </si>
  <si>
    <t xml:space="preserve">San fernando</t>
  </si>
  <si>
    <t xml:space="preserve">Rastreador fournier 3110</t>
  </si>
  <si>
    <t xml:space="preserve">Londero, Juan Ignacio</t>
  </si>
  <si>
    <t xml:space="preserve">https://docs.google.com/spreadsheets/d/1-mQG9R7inD1mImn_pvVoDGnYC3TxBMbLWReTNMtJKs4/edit?usp=drivesdk</t>
  </si>
  <si>
    <t xml:space="preserve">Ortega Franco</t>
  </si>
  <si>
    <t xml:space="preserve">Amanda</t>
  </si>
  <si>
    <t xml:space="preserve">amanda.ortegafranco.et21.23@gmail.com</t>
  </si>
  <si>
    <t xml:space="preserve">amandao246@alu.bue.edu.ar</t>
  </si>
  <si>
    <t xml:space="preserve">Doctor Pedro Ignacio Rivera 2858</t>
  </si>
  <si>
    <t xml:space="preserve">Maria Lucila</t>
  </si>
  <si>
    <t xml:space="preserve">mlucilafranco@gmail.com</t>
  </si>
  <si>
    <t xml:space="preserve">Marcos</t>
  </si>
  <si>
    <t xml:space="preserve">Ortega Ribes</t>
  </si>
  <si>
    <t xml:space="preserve">opelka1@hotmal.com</t>
  </si>
  <si>
    <t xml:space="preserve">Completa</t>
  </si>
  <si>
    <t xml:space="preserve">Pereira, Máximo Ariel</t>
  </si>
  <si>
    <t xml:space="preserve">https://docs.google.com/spreadsheets/d/19FT1mmDIPWFSNIHhRAsR4vgJX2CqroX2ODX-Vd9fxCY/edit?usp=drivesdk</t>
  </si>
  <si>
    <t xml:space="preserve">Oviedo</t>
  </si>
  <si>
    <t xml:space="preserve">Matias Benjamin</t>
  </si>
  <si>
    <t xml:space="preserve">oviedo.matias.et21.26@gmail.com</t>
  </si>
  <si>
    <t xml:space="preserve">nn</t>
  </si>
  <si>
    <t xml:space="preserve">Patricia</t>
  </si>
  <si>
    <t xml:space="preserve">Rodríguez</t>
  </si>
  <si>
    <t xml:space="preserve">1166257213 (Madre)</t>
  </si>
  <si>
    <t xml:space="preserve">javieroviedo400@gmail.com</t>
  </si>
  <si>
    <t xml:space="preserve">Méndez, Marcelo</t>
  </si>
  <si>
    <t xml:space="preserve">https://docs.google.com/spreadsheets/d/1RNOv1VEs5SURFUemHrZKl4hjsU7R_n0XeEVu4wtx8HI/edit?usp=drivesdk</t>
  </si>
  <si>
    <t xml:space="preserve">Padilla</t>
  </si>
  <si>
    <t xml:space="preserve">Daniela</t>
  </si>
  <si>
    <t xml:space="preserve">25/11/2007</t>
  </si>
  <si>
    <t xml:space="preserve">daniela.padilla.et21.21@gmail.com</t>
  </si>
  <si>
    <t xml:space="preserve">danielap536@alu.bue.edu.ar</t>
  </si>
  <si>
    <t xml:space="preserve">BsAs</t>
  </si>
  <si>
    <t xml:space="preserve">Malvinas Argentina</t>
  </si>
  <si>
    <t xml:space="preserve">Baroni</t>
  </si>
  <si>
    <t xml:space="preserve">B1613FAQ</t>
  </si>
  <si>
    <t xml:space="preserve">Estefania Viviana</t>
  </si>
  <si>
    <t xml:space="preserve">Luis Hernan</t>
  </si>
  <si>
    <t xml:space="preserve">https://docs.google.com/spreadsheets/d/1nKtrBjKs4wMsSU-AQaDta2gyBmaFn_1V95-qF5suM4s/edit?usp=drivesdk</t>
  </si>
  <si>
    <t xml:space="preserve">https://drive.google.com/drive/folders/1R7iz0gmoqTmV-yQLqAg8jz1_Gw7aNA2a</t>
  </si>
  <si>
    <t xml:space="preserve">Sebastian Andres</t>
  </si>
  <si>
    <t xml:space="preserve">padilla.andres.et21.26@gmail.com</t>
  </si>
  <si>
    <t xml:space="preserve">sebastianp246@alu.bue.edu.ar</t>
  </si>
  <si>
    <t xml:space="preserve">MACHAIN 3036</t>
  </si>
  <si>
    <t xml:space="preserve">ANA JUDITH</t>
  </si>
  <si>
    <t xml:space="preserve">RAIJENSTEIN</t>
  </si>
  <si>
    <t xml:space="preserve">15 56531634</t>
  </si>
  <si>
    <t xml:space="preserve">ana.raijenstein@bue.edu.ar</t>
  </si>
  <si>
    <t xml:space="preserve">CARLOS ALBERTO</t>
  </si>
  <si>
    <t xml:space="preserve">PADILLA</t>
  </si>
  <si>
    <t xml:space="preserve">15 53172802</t>
  </si>
  <si>
    <t xml:space="preserve">padilla@gmail.com</t>
  </si>
  <si>
    <t xml:space="preserve">Pérez, Yamila</t>
  </si>
  <si>
    <t xml:space="preserve">https://docs.google.com/spreadsheets/d/1hhX6rorC79xwu0AoxwPpKGpcW_GJJN41kSRzUTFgHB8/edit?usp=drivesdk</t>
  </si>
  <si>
    <t xml:space="preserve">Pain</t>
  </si>
  <si>
    <t xml:space="preserve">Valeria Roxana</t>
  </si>
  <si>
    <t xml:space="preserve">AREGNTINA</t>
  </si>
  <si>
    <t xml:space="preserve">ocaranza.martin.et21.26@gmail.com</t>
  </si>
  <si>
    <t xml:space="preserve">VALERIAPAINN.ET212025@GMAIL.COM</t>
  </si>
  <si>
    <t xml:space="preserve">COMUNA 15</t>
  </si>
  <si>
    <t xml:space="preserve">GINEBRA 3828</t>
  </si>
  <si>
    <t xml:space="preserve">MARINA </t>
  </si>
  <si>
    <t xml:space="preserve">SPUCHES</t>
  </si>
  <si>
    <t xml:space="preserve">MARINA.SPUCHES@BUE.EDU.AR</t>
  </si>
  <si>
    <t xml:space="preserve">https://docs.google.com/spreadsheets/d/1DAzJa8BWgp1Z1-LT4_8CvHzVh1tNqxNraPNd8rgKywg/edit?usp=drivesdk</t>
  </si>
  <si>
    <t xml:space="preserve">Palavecino Coria</t>
  </si>
  <si>
    <t xml:space="preserve">Josselin Xihomara</t>
  </si>
  <si>
    <t xml:space="preserve">28/06/2013</t>
  </si>
  <si>
    <t xml:space="preserve">palavecino.josselin.et21.26@gmail.com</t>
  </si>
  <si>
    <t xml:space="preserve">PCIA BUENOS AIRES</t>
  </si>
  <si>
    <t xml:space="preserve">HURLINGHAM</t>
  </si>
  <si>
    <t xml:space="preserve">Eva Perón 2829</t>
  </si>
  <si>
    <t xml:space="preserve">Antonia Belen</t>
  </si>
  <si>
    <t xml:space="preserve">Coria</t>
  </si>
  <si>
    <t xml:space="preserve">giovaniyosselin@gmail.com</t>
  </si>
  <si>
    <t xml:space="preserve">TRASTORNO ALIMENTICIO, MIOPIA</t>
  </si>
  <si>
    <t xml:space="preserve">https://docs.google.com/spreadsheets/d/1y8ndrN4X7cs4Bxxx2zlXJeltYvYk2F-9D-Q0debMpCc/edit?usp=drivesdk</t>
  </si>
  <si>
    <t xml:space="preserve">Pallero Fascio</t>
  </si>
  <si>
    <t xml:space="preserve">Camila</t>
  </si>
  <si>
    <t xml:space="preserve">pallero.camila.et21.23@gmail.com</t>
  </si>
  <si>
    <t xml:space="preserve">camilap33547@alu.bue.edu.ar</t>
  </si>
  <si>
    <t xml:space="preserve">provincia</t>
  </si>
  <si>
    <t xml:space="preserve">vicente lopez</t>
  </si>
  <si>
    <t xml:space="preserve">maipu 1864</t>
  </si>
  <si>
    <t xml:space="preserve">veronica</t>
  </si>
  <si>
    <t xml:space="preserve">Cecilia fascio</t>
  </si>
  <si>
    <t xml:space="preserve">veronicacfascio@gmail.com</t>
  </si>
  <si>
    <t xml:space="preserve">fractura en el perone izquierdo</t>
  </si>
  <si>
    <t xml:space="preserve">https://docs.google.com/spreadsheets/d/1mpUxsadui5jwFYIomqbX3-5dmKLZ3rcUMyMdhpkrxV8/edit?usp=drivesdk</t>
  </si>
  <si>
    <t xml:space="preserve">Paradiso</t>
  </si>
  <si>
    <t xml:space="preserve"> Agustin</t>
  </si>
  <si>
    <t xml:space="preserve">paradiso.agustin.et21.25@gmail.com</t>
  </si>
  <si>
    <t xml:space="preserve">agustinp426@alu.bue.edu.ar</t>
  </si>
  <si>
    <t xml:space="preserve">coglan</t>
  </si>
  <si>
    <t xml:space="preserve">Washington 2939 B</t>
  </si>
  <si>
    <t xml:space="preserve">Paula Lorena </t>
  </si>
  <si>
    <t xml:space="preserve">Amarilla</t>
  </si>
  <si>
    <t xml:space="preserve">paulaamarilla@hotmail.com</t>
  </si>
  <si>
    <t xml:space="preserve"> (Padre)</t>
  </si>
  <si>
    <t xml:space="preserve">https://docs.google.com/spreadsheets/d/1BwuJnlIRlJwaddDpPAX416LpnL0qusp3NMlq82uKhNU/edit?usp=drivesdk</t>
  </si>
  <si>
    <t xml:space="preserve">Parano</t>
  </si>
  <si>
    <t xml:space="preserve">Ignacio</t>
  </si>
  <si>
    <t xml:space="preserve">29/08/2010</t>
  </si>
  <si>
    <t xml:space="preserve">parano.ignacio.et21.24@gmail.com</t>
  </si>
  <si>
    <t xml:space="preserve">Vicente Lopez, Pcia de BsAs</t>
  </si>
  <si>
    <t xml:space="preserve">Nicolás Avellaneda 2104</t>
  </si>
  <si>
    <t xml:space="preserve">Codigo Postal 1636</t>
  </si>
  <si>
    <t xml:space="preserve">Adrián</t>
  </si>
  <si>
    <t xml:space="preserve">Flaviana</t>
  </si>
  <si>
    <t xml:space="preserve">Laderach</t>
  </si>
  <si>
    <t xml:space="preserve">Fernandez, Mónica</t>
  </si>
  <si>
    <t xml:space="preserve">https://docs.google.com/spreadsheets/d/1v5QlNo8jerRn-TXywgEGBXQrrPxpNTxR39lNvPYgxxE/edit?usp=drivesdk</t>
  </si>
  <si>
    <t xml:space="preserve">Pardo</t>
  </si>
  <si>
    <t xml:space="preserve">Joaquín</t>
  </si>
  <si>
    <t xml:space="preserve">pardo.joaquin.et21.23@gmail.com</t>
  </si>
  <si>
    <t xml:space="preserve">X@alu.bue.edu.ar</t>
  </si>
  <si>
    <t xml:space="preserve">Moldes 2390</t>
  </si>
  <si>
    <t xml:space="preserve">Miguel </t>
  </si>
  <si>
    <t xml:space="preserve">compumapdigital@gmail.com</t>
  </si>
  <si>
    <t xml:space="preserve">Schilliro, Gabriel</t>
  </si>
  <si>
    <t xml:space="preserve">https://docs.google.com/spreadsheets/d/11aCG5lOVtviES0zrhIRHod20fraY7aqRzVli3T2UdbE/edit?usp=drivesdk</t>
  </si>
  <si>
    <t xml:space="preserve">Pasquale</t>
  </si>
  <si>
    <t xml:space="preserve">Octavio</t>
  </si>
  <si>
    <t xml:space="preserve">pasquale.octavio.et21.26@gmail.com</t>
  </si>
  <si>
    <t xml:space="preserve">pasqualeoctavio1@gmail.com</t>
  </si>
  <si>
    <t xml:space="preserve">Bucarelli 3530</t>
  </si>
  <si>
    <t xml:space="preserve">Brenda</t>
  </si>
  <si>
    <t xml:space="preserve">Forni</t>
  </si>
  <si>
    <t xml:space="preserve">bforni@remax.com</t>
  </si>
  <si>
    <t xml:space="preserve">https://docs.google.com/spreadsheets/d/1o6Xp4J9xovaP_KcTqpoQSkooYTGz36EkHn9tNAGPBnU/edit?usp=drivesdk</t>
  </si>
  <si>
    <t xml:space="preserve">Pausic</t>
  </si>
  <si>
    <t xml:space="preserve">Francesco</t>
  </si>
  <si>
    <t xml:space="preserve">22/8/2010</t>
  </si>
  <si>
    <t xml:space="preserve">pausic.francesco.et21.24@gmail.com</t>
  </si>
  <si>
    <t xml:space="preserve">Villa Urquisa</t>
  </si>
  <si>
    <t xml:space="preserve">Bucareli 151</t>
  </si>
  <si>
    <t xml:space="preserve">Nelson</t>
  </si>
  <si>
    <t xml:space="preserve">cud</t>
  </si>
  <si>
    <t xml:space="preserve">Escalante, Sabrina</t>
  </si>
  <si>
    <t xml:space="preserve">https://docs.google.com/spreadsheets/d/1ocqPMxZZ3mYyLKz1Lr-Vyy_XChZi30wM1bcpOevywwE/edit?usp=drivesdk</t>
  </si>
  <si>
    <t xml:space="preserve"> Ignacio</t>
  </si>
  <si>
    <t xml:space="preserve">pausic.ignacio.et21.26@gmail.com</t>
  </si>
  <si>
    <t xml:space="preserve">Bs As (Bahía Blanca)</t>
  </si>
  <si>
    <t xml:space="preserve">Bucarelli 3053</t>
  </si>
  <si>
    <t xml:space="preserve">1162108773 (Madre y padre)</t>
  </si>
  <si>
    <t xml:space="preserve">nelpausic@gmail.com</t>
  </si>
  <si>
    <t xml:space="preserve">mora</t>
  </si>
  <si>
    <t xml:space="preserve">carlam2002@gmail.com</t>
  </si>
  <si>
    <t xml:space="preserve">https://docs.google.com/spreadsheets/d/18u_sQWn4gHtDp-VejR6i_CNrgB97yXqOwYcMmp78rAY/edit?usp=drivesdk</t>
  </si>
  <si>
    <t xml:space="preserve">Paz</t>
  </si>
  <si>
    <t xml:space="preserve">20/04/2011</t>
  </si>
  <si>
    <t xml:space="preserve">paz.benja.et21.24@gmail.com</t>
  </si>
  <si>
    <t xml:space="preserve">pazb19258@gmail.com</t>
  </si>
  <si>
    <t xml:space="preserve">willial morris 1604</t>
  </si>
  <si>
    <t xml:space="preserve">Erica </t>
  </si>
  <si>
    <t xml:space="preserve">Huanca</t>
  </si>
  <si>
    <t xml:space="preserve">54 9 11 3089 7928</t>
  </si>
  <si>
    <t xml:space="preserve">Ericahuancahaydee@gmail.com</t>
  </si>
  <si>
    <t xml:space="preserve">https://docs.google.com/spreadsheets/d/1M55oM5TV13ow6dw0pTYiCmIYXUU3gvQc1STjoyRQASE/edit?usp=drivesdk</t>
  </si>
  <si>
    <t xml:space="preserve">Nehuen</t>
  </si>
  <si>
    <t xml:space="preserve">paz.nehuen.et21.24@gmail.com</t>
  </si>
  <si>
    <t xml:space="preserve">//////</t>
  </si>
  <si>
    <t xml:space="preserve">aizpurua 3157</t>
  </si>
  <si>
    <t xml:space="preserve">nadia</t>
  </si>
  <si>
    <t xml:space="preserve">giammaria</t>
  </si>
  <si>
    <t xml:space="preserve">nagima.accesorios@gmail.com</t>
  </si>
  <si>
    <t xml:space="preserve">https://docs.google.com/spreadsheets/d/1IYGirkKcrlwyphkDeYML8bnzT0u3szpqGqm-QCrmFys/edit?usp=drivesdk</t>
  </si>
  <si>
    <t xml:space="preserve">Pedraza</t>
  </si>
  <si>
    <t xml:space="preserve">Juan</t>
  </si>
  <si>
    <t xml:space="preserve">13/03/2010</t>
  </si>
  <si>
    <t xml:space="preserve">pedraza.juan.et21.23@gmail.com</t>
  </si>
  <si>
    <t xml:space="preserve">juanp1108@alu.bue.edu.ar</t>
  </si>
  <si>
    <t xml:space="preserve">Comuna 13</t>
  </si>
  <si>
    <t xml:space="preserve">Ciudad de la paz 3390</t>
  </si>
  <si>
    <t xml:space="preserve">Karina</t>
  </si>
  <si>
    <t xml:space="preserve">Albornoz</t>
  </si>
  <si>
    <t xml:space="preserve">karinalbornoz12@gmail.com</t>
  </si>
  <si>
    <t xml:space="preserve">tengo escoliosis</t>
  </si>
  <si>
    <t xml:space="preserve">https://docs.google.com/spreadsheets/d/1kfAa8RTWdIpMMx2kx6S2UIBYRoYLdzfsybe7JF7aWR4/edit?usp=drivesdk</t>
  </si>
  <si>
    <t xml:space="preserve">Pedrosa Lopez</t>
  </si>
  <si>
    <t xml:space="preserve">Lucas Miguel</t>
  </si>
  <si>
    <t xml:space="preserve">16/10/1986</t>
  </si>
  <si>
    <t xml:space="preserve">lucas.pedrosa.et21.26@gmail.com</t>
  </si>
  <si>
    <t xml:space="preserve">Méndez, Erick</t>
  </si>
  <si>
    <t xml:space="preserve">https://docs.google.com/spreadsheets/d/1c-vyhT2HAV2EWCsceBA6eSiKfqxlg3F0xfaQ9TLopvg/edit?usp=drivesdk</t>
  </si>
  <si>
    <t xml:space="preserve">Peña Samuel</t>
  </si>
  <si>
    <t xml:space="preserve">Samuel Francisco </t>
  </si>
  <si>
    <t xml:space="preserve">Venezolana </t>
  </si>
  <si>
    <t xml:space="preserve">pena.samuel.et21.22@gmail.com</t>
  </si>
  <si>
    <t xml:space="preserve">Moldes 1971</t>
  </si>
  <si>
    <t xml:space="preserve">Collerone</t>
  </si>
  <si>
    <t xml:space="preserve">Ni idea</t>
  </si>
  <si>
    <t xml:space="preserve">Mariano </t>
  </si>
  <si>
    <t xml:space="preserve">Larretape</t>
  </si>
  <si>
    <t xml:space="preserve">Collerone, Adrián</t>
  </si>
  <si>
    <t xml:space="preserve">https://docs.google.com/spreadsheets/d/1_1Kted9fFyWsXmZghAv9Pinpuxy8HNqagGJbFd-DZGY/edit?usp=drivesdk</t>
  </si>
  <si>
    <t xml:space="preserve">Penzotti</t>
  </si>
  <si>
    <t xml:space="preserve">Nahuel</t>
  </si>
  <si>
    <t xml:space="preserve">15/08/11</t>
  </si>
  <si>
    <t xml:space="preserve">penzotti.nahuel.et21.25@gmail.com</t>
  </si>
  <si>
    <t xml:space="preserve">Provincia de Bs. As.</t>
  </si>
  <si>
    <t xml:space="preserve">Evelina</t>
  </si>
  <si>
    <t xml:space="preserve">Brey</t>
  </si>
  <si>
    <t xml:space="preserve">evebrey@hotmail.com</t>
  </si>
  <si>
    <t xml:space="preserve">Padre</t>
  </si>
  <si>
    <t xml:space="preserve">https://docs.google.com/spreadsheets/d/1mMb9Vw0MLIVSe87UAFOqmZuVG6dy_Mv2iwoqGX7XqSo/edit?usp=drivesdk</t>
  </si>
  <si>
    <t xml:space="preserve">Pereyra Funcasta</t>
  </si>
  <si>
    <t xml:space="preserve"> Benjamin Nicolas</t>
  </si>
  <si>
    <t xml:space="preserve">sin datos</t>
  </si>
  <si>
    <t xml:space="preserve">pereyra.benjamin.et21.25@gmail.com</t>
  </si>
  <si>
    <t xml:space="preserve">tizianop9696@alu.bue.edu.ar</t>
  </si>
  <si>
    <t xml:space="preserve"> (Madre)</t>
  </si>
  <si>
    <t xml:space="preserve">funcastamarinag@gmail.com</t>
  </si>
  <si>
    <t xml:space="preserve">1130078049 (Padre)</t>
  </si>
  <si>
    <t xml:space="preserve">https://docs.google.com/spreadsheets/d/16abJ5d5d1rDzirjhX9IEDoAx1wnLZLoLaJ4SFc0Go30/edit?usp=drivesdk</t>
  </si>
  <si>
    <t xml:space="preserve">Perez Mastrangelo</t>
  </si>
  <si>
    <t xml:space="preserve">Sofia Nahir</t>
  </si>
  <si>
    <t xml:space="preserve">15/03/2012</t>
  </si>
  <si>
    <t xml:space="preserve">perez.sofia.et21.25@gmail.com</t>
  </si>
  <si>
    <t xml:space="preserve">sofiap517@alu.bue.edu.ar</t>
  </si>
  <si>
    <t xml:space="preserve">colegiales</t>
  </si>
  <si>
    <t xml:space="preserve">Matienzo 2610</t>
  </si>
  <si>
    <t xml:space="preserve">Fernanda </t>
  </si>
  <si>
    <t xml:space="preserve">Mastrangelo </t>
  </si>
  <si>
    <t xml:space="preserve">2ferchus22@gmail.com</t>
  </si>
  <si>
    <t xml:space="preserve">1167569881 (Abuela)</t>
  </si>
  <si>
    <t xml:space="preserve">https://docs.google.com/spreadsheets/d/1BFzKGIkqr9dc6ZZgXdH6Lc--n26fdGrRwFmBcoyjgU0/edit?usp=drivesdk</t>
  </si>
  <si>
    <t xml:space="preserve">Perez Reisberg</t>
  </si>
  <si>
    <t xml:space="preserve">28/05/2012</t>
  </si>
  <si>
    <t xml:space="preserve">perez.agustin.et21.26@gmail.com</t>
  </si>
  <si>
    <t xml:space="preserve">https://docs.google.com/spreadsheets/d/14GnpgktZOrtj77McInvVYER_9vm0lqof-Dtfy7rSOqA/edit?usp=drivesdk</t>
  </si>
  <si>
    <t xml:space="preserve">Perez Stahlschmidt</t>
  </si>
  <si>
    <t xml:space="preserve">Kirian</t>
  </si>
  <si>
    <t xml:space="preserve">stahlschmidt.kirian.et21.23@gmail.com</t>
  </si>
  <si>
    <t xml:space="preserve">CGP15, Villa Ortuzar</t>
  </si>
  <si>
    <t xml:space="preserve">Av. De Los Incas 4054</t>
  </si>
  <si>
    <t xml:space="preserve">Stahlschmidt</t>
  </si>
  <si>
    <t xml:space="preserve">paulasols@gmail.com</t>
  </si>
  <si>
    <t xml:space="preserve">https://docs.google.com/spreadsheets/d/1MdZflEylcAYeHqmg1XlkHR3pf4KOTQu-IL7PyXxgfcM/edit?usp=drivesdk</t>
  </si>
  <si>
    <t xml:space="preserve">Perez Weiss Deibe</t>
  </si>
  <si>
    <t xml:space="preserve">Leon</t>
  </si>
  <si>
    <t xml:space="preserve">deibe.leon.et21.22@gmail.com</t>
  </si>
  <si>
    <t xml:space="preserve"> leonp631@alu.bue.edu.ar</t>
  </si>
  <si>
    <t xml:space="preserve">saavedra</t>
  </si>
  <si>
    <t xml:space="preserve">washington 3480</t>
  </si>
  <si>
    <t xml:space="preserve">analia</t>
  </si>
  <si>
    <t xml:space="preserve">deibe</t>
  </si>
  <si>
    <t xml:space="preserve">11 5142 8445</t>
  </si>
  <si>
    <t xml:space="preserve">anitadeibe@gmail.com</t>
  </si>
  <si>
    <t xml:space="preserve">rodrigo</t>
  </si>
  <si>
    <t xml:space="preserve">perez weiss</t>
  </si>
  <si>
    <t xml:space="preserve">11 3122-0461</t>
  </si>
  <si>
    <t xml:space="preserve">rodrigo.perezweiss@gmail.com</t>
  </si>
  <si>
    <t xml:space="preserve">https://docs.google.com/spreadsheets/d/13Mm3PafKGTh1fQmmTWk9MhpOvCGmaXjjL5HsuGi_nUQ/edit?usp=drivesdk</t>
  </si>
  <si>
    <t xml:space="preserve">Noel Dante</t>
  </si>
  <si>
    <t xml:space="preserve">31/08/2011</t>
  </si>
  <si>
    <t xml:space="preserve">perezweissdeibe.noel.et21.25@gmail.com</t>
  </si>
  <si>
    <t xml:space="preserve">noelp771@alu.bue.edu.ar</t>
  </si>
  <si>
    <t xml:space="preserve">COGLHAN </t>
  </si>
  <si>
    <t xml:space="preserve">WASHINGTON 3480</t>
  </si>
  <si>
    <t xml:space="preserve">ANITA </t>
  </si>
  <si>
    <t xml:space="preserve">DEIBE</t>
  </si>
  <si>
    <t xml:space="preserve">0115-142-8445 </t>
  </si>
  <si>
    <t xml:space="preserve">ANITADEIBE@GMAIL.COM</t>
  </si>
  <si>
    <t xml:space="preserve">https://docs.google.com/spreadsheets/d/1B-Gfkctr7ma58cOEe06HkBjpXjt2AfcR6XNaelWpdq0/edit?usp=drivesdk</t>
  </si>
  <si>
    <t xml:space="preserve">Pianarosa</t>
  </si>
  <si>
    <t xml:space="preserve">Fabrizio</t>
  </si>
  <si>
    <t xml:space="preserve">fabrizio.pianarosa.et21.25@gmail.com</t>
  </si>
  <si>
    <t xml:space="preserve">VicenteLopez</t>
  </si>
  <si>
    <t xml:space="preserve">Peru127</t>
  </si>
  <si>
    <t xml:space="preserve">Ramirez</t>
  </si>
  <si>
    <t xml:space="preserve">vaninasramirez@gmail.com</t>
  </si>
  <si>
    <t xml:space="preserve">Pertiné, Daniel</t>
  </si>
  <si>
    <t xml:space="preserve">https://docs.google.com/spreadsheets/d/1ZCCpJQLliQsfMFXavdPj5VhZ613YoN7E028MPSvJkRI/edit?usp=drivesdk</t>
  </si>
  <si>
    <t xml:space="preserve">Pichot</t>
  </si>
  <si>
    <t xml:space="preserve">Julieta</t>
  </si>
  <si>
    <t xml:space="preserve">27/02/2008</t>
  </si>
  <si>
    <t xml:space="preserve">Julieta.pichot.et21.21@gmail.com</t>
  </si>
  <si>
    <t xml:space="preserve">Provincia de BsAs</t>
  </si>
  <si>
    <t xml:space="preserve">Buenos aires 3379</t>
  </si>
  <si>
    <t xml:space="preserve">Gabriela</t>
  </si>
  <si>
    <t xml:space="preserve">Iannini</t>
  </si>
  <si>
    <t xml:space="preserve">gabrielaiannini@gmail.com</t>
  </si>
  <si>
    <t xml:space="preserve">https://docs.google.com/spreadsheets/d/1XkGw5UbLWTL9o8PspV8CLid2zyTcKnmyeOZT9lbUCx8/edit?usp=drivesdk</t>
  </si>
  <si>
    <t xml:space="preserve">Pilatti</t>
  </si>
  <si>
    <t xml:space="preserve">Valentino</t>
  </si>
  <si>
    <t xml:space="preserve">pilatti.valentino.et21.26@gmail.com</t>
  </si>
  <si>
    <t xml:space="preserve">ca</t>
  </si>
  <si>
    <t xml:space="preserve">Analia</t>
  </si>
  <si>
    <t xml:space="preserve">1130905285 (Abuela)</t>
  </si>
  <si>
    <t xml:space="preserve">anny_0511@hotmail.com</t>
  </si>
  <si>
    <t xml:space="preserve">https://docs.google.com/spreadsheets/d/1pDTlyQMouak7Jm3IhNeiGsnPv1jIhtt2yCcA5Vu1_eU/edit?usp=drivesdk</t>
  </si>
  <si>
    <t xml:space="preserve">Pilotto</t>
  </si>
  <si>
    <t xml:space="preserve">Yuri</t>
  </si>
  <si>
    <t xml:space="preserve">28/05/2010</t>
  </si>
  <si>
    <t xml:space="preserve">pilotto.yuri.et21.23@gmail.com</t>
  </si>
  <si>
    <t xml:space="preserve">yurithaielpilotto@gmail.com</t>
  </si>
  <si>
    <t xml:space="preserve">Amenabar 3230</t>
  </si>
  <si>
    <t xml:space="preserve">Zulma</t>
  </si>
  <si>
    <t xml:space="preserve">Castro</t>
  </si>
  <si>
    <t xml:space="preserve">Zulmaacastro@gmail.com</t>
  </si>
  <si>
    <t xml:space="preserve">Todo correcto</t>
  </si>
  <si>
    <t xml:space="preserve">https://docs.google.com/spreadsheets/d/1prdAs1Z-QMLP0NE2rTcOqcn5lq3ZA7LCZnN_WgwNkdQ/edit?usp=drivesdk</t>
  </si>
  <si>
    <t xml:space="preserve">Pintos Konradi</t>
  </si>
  <si>
    <t xml:space="preserve">Lautaro Valentin</t>
  </si>
  <si>
    <t xml:space="preserve">15/06/2012</t>
  </si>
  <si>
    <t xml:space="preserve">konradi.lautaro.et21.26@gmail.com</t>
  </si>
  <si>
    <t xml:space="preserve">@ALU.BUE.EDU.AR</t>
  </si>
  <si>
    <t xml:space="preserve">Celeste Rocio"</t>
  </si>
  <si>
    <t xml:space="preserve">"Konradi</t>
  </si>
  <si>
    <t xml:space="preserve">kardelpilar8@gmail.com</t>
  </si>
  <si>
    <t xml:space="preserve">https://docs.google.com/spreadsheets/d/1tZhMOLwxk8TO6ZuLk1m6MH5jZFR9hPkET5xp5ynImjg/edit?usp=drivesdk</t>
  </si>
  <si>
    <t xml:space="preserve">Pitronaci</t>
  </si>
  <si>
    <t xml:space="preserve">German</t>
  </si>
  <si>
    <t xml:space="preserve">23/09/2002</t>
  </si>
  <si>
    <t xml:space="preserve">German.pitronaci.et21.24@gmail.com</t>
  </si>
  <si>
    <t xml:space="preserve">pitronacigerman@gmail.com</t>
  </si>
  <si>
    <t xml:space="preserve">Maschwitz, Provincia de Buenos Aires </t>
  </si>
  <si>
    <t xml:space="preserve">Belen de Escobar</t>
  </si>
  <si>
    <t xml:space="preserve">Lambare 1182</t>
  </si>
  <si>
    <t xml:space="preserve">Ronzoni, María</t>
  </si>
  <si>
    <t xml:space="preserve">https://docs.google.com/spreadsheets/d/1c1o1BGuQDyExdOadBcYIFs8tk347ZP-qsKRY8Xxr9oY/edit?usp=drivesdk</t>
  </si>
  <si>
    <t xml:space="preserve">Pochettino</t>
  </si>
  <si>
    <t xml:space="preserve">Mora</t>
  </si>
  <si>
    <t xml:space="preserve">Pochettino.mora.et21.24@gmail.com</t>
  </si>
  <si>
    <t xml:space="preserve">morapoche@gmail.com</t>
  </si>
  <si>
    <t xml:space="preserve">Villa Pueyrredon</t>
  </si>
  <si>
    <t xml:space="preserve">Terrada 5843</t>
  </si>
  <si>
    <t xml:space="preserve">Pochettino Adrian Omar </t>
  </si>
  <si>
    <t xml:space="preserve">Pochettino </t>
  </si>
  <si>
    <t xml:space="preserve">Adrian19808@hotmail.com</t>
  </si>
  <si>
    <t xml:space="preserve">Maria celeste acevedo</t>
  </si>
  <si>
    <t xml:space="preserve">Acevedo</t>
  </si>
  <si>
    <t xml:space="preserve">mceleste.acevedo@gmail.com</t>
  </si>
  <si>
    <t xml:space="preserve">Barrionuevo Luisina</t>
  </si>
  <si>
    <t xml:space="preserve">https://docs.google.com/spreadsheets/d/1riOvmmKR60sw4SNx9NBdm1lGzrLYEpD6bBHBY5K28j4/edit?usp=drivesdk</t>
  </si>
  <si>
    <t xml:space="preserve">Porta</t>
  </si>
  <si>
    <t xml:space="preserve">Bruno Agustin</t>
  </si>
  <si>
    <t xml:space="preserve">porta.bruno.et21.23@gmail.com</t>
  </si>
  <si>
    <t xml:space="preserve"> vyhewvuiwbvjebjvk</t>
  </si>
  <si>
    <t xml:space="preserve">Pcia BsAS</t>
  </si>
  <si>
    <t xml:space="preserve">Tigre</t>
  </si>
  <si>
    <t xml:space="preserve">Juan José Paso</t>
  </si>
  <si>
    <t xml:space="preserve">b1617</t>
  </si>
  <si>
    <t xml:space="preserve">2804 847613</t>
  </si>
  <si>
    <t xml:space="preserve">Portabrunoagustin@gmail.com</t>
  </si>
  <si>
    <t xml:space="preserve">https://docs.google.com/spreadsheets/d/10ZjcDRoFNVtQzow5No46SfLwfHRPiFoMESPvYAJarlU/edit?usp=drivesdk</t>
  </si>
  <si>
    <t xml:space="preserve">Portilla</t>
  </si>
  <si>
    <t xml:space="preserve">Mailen</t>
  </si>
  <si>
    <t xml:space="preserve">17/02/2011</t>
  </si>
  <si>
    <t xml:space="preserve">MAILEN.PORTILLA.ET21.24@GMAIL.COM</t>
  </si>
  <si>
    <t xml:space="preserve">milenp347@alu.bue.edu.ar</t>
  </si>
  <si>
    <t xml:space="preserve">SAAVEDRA</t>
  </si>
  <si>
    <t xml:space="preserve">MANZANARES 3680</t>
  </si>
  <si>
    <t xml:space="preserve">SEBASTIAN</t>
  </si>
  <si>
    <t xml:space="preserve">PORTILLA</t>
  </si>
  <si>
    <t xml:space="preserve">SPORTILLA0712@GMAIL.COM</t>
  </si>
  <si>
    <t xml:space="preserve">https://docs.google.com/spreadsheets/d/1stmjHyzqBGGnHzYNZY322FyFVBaYa2AUwz_u-owOasM/edit?usp=drivesdk</t>
  </si>
  <si>
    <t xml:space="preserve">Primon</t>
  </si>
  <si>
    <t xml:space="preserve">Bianca</t>
  </si>
  <si>
    <t xml:space="preserve">12.02.11</t>
  </si>
  <si>
    <t xml:space="preserve">primon.bianca.et21.26@gmail.com</t>
  </si>
  <si>
    <t xml:space="preserve">pcia de BsAs</t>
  </si>
  <si>
    <t xml:space="preserve">hipolito yrigoyen 3460</t>
  </si>
  <si>
    <t xml:space="preserve">gabriela</t>
  </si>
  <si>
    <t xml:space="preserve">craboledda</t>
  </si>
  <si>
    <t xml:space="preserve">gcraboledda@gmail.com</t>
  </si>
  <si>
    <t xml:space="preserve">https://docs.google.com/spreadsheets/d/1gXx12hPPRc0NMeE6D9a-1mHHqnaTyYMUztVTE1FV8Is/edit?usp=drivesdk</t>
  </si>
  <si>
    <t xml:space="preserve">Pritula</t>
  </si>
  <si>
    <t xml:space="preserve">30/03/2011</t>
  </si>
  <si>
    <t xml:space="preserve">pritula.nicolas.et21.24@gmail.com</t>
  </si>
  <si>
    <t xml:space="preserve">Mariano Acha 4681</t>
  </si>
  <si>
    <t xml:space="preserve">Verónica </t>
  </si>
  <si>
    <t xml:space="preserve">Pállese</t>
  </si>
  <si>
    <t xml:space="preserve">veronicapallise@gmail.com</t>
  </si>
  <si>
    <t xml:space="preserve">https://docs.google.com/spreadsheets/d/1d_kYHhKUi-n82uiDK_uSM9UkAwTqxuj6QHXMxvKIjXo/edit?usp=drivesdk</t>
  </si>
  <si>
    <t xml:space="preserve">Quicquaro</t>
  </si>
  <si>
    <t xml:space="preserve">Martin Daniel</t>
  </si>
  <si>
    <t xml:space="preserve">17/08/2012</t>
  </si>
  <si>
    <t xml:space="preserve">quicquaro.martin.et21.26@gmail.com</t>
  </si>
  <si>
    <t xml:space="preserve">Rean </t>
  </si>
  <si>
    <t xml:space="preserve">Romina</t>
  </si>
  <si>
    <t xml:space="preserve">1164762478 (Madre)</t>
  </si>
  <si>
    <t xml:space="preserve">romina.rean@gmail.com</t>
  </si>
  <si>
    <t xml:space="preserve">https://docs.google.com/spreadsheets/d/1SnXXuIz5Ns1yarW5s7eq6b9B3FNgAS5GHDstiEF5laU/edit?usp=drivesdk</t>
  </si>
  <si>
    <t xml:space="preserve">https://drive.google.com/drive/folders/1WC5X0pwLkl0kQePreUDIjA8A1r_BKxAL</t>
  </si>
  <si>
    <t xml:space="preserve">Quino Huamani</t>
  </si>
  <si>
    <t xml:space="preserve">Yonathan Pascual</t>
  </si>
  <si>
    <t xml:space="preserve">Peruano</t>
  </si>
  <si>
    <t xml:space="preserve">23/08/1993</t>
  </si>
  <si>
    <t xml:space="preserve">quino.yonathan.et21.26@gmail.com</t>
  </si>
  <si>
    <t xml:space="preserve">jonathanquino@hotmail.com</t>
  </si>
  <si>
    <t xml:space="preserve">fraga 868</t>
  </si>
  <si>
    <t xml:space="preserve">https://docs.google.com/spreadsheets/d/127f5q7YUCKtVpGlZe_4GrqGrSGax1s2ojbUhILotfeg/edit?usp=drivesdk</t>
  </si>
  <si>
    <t xml:space="preserve">Quinteros Ruiz</t>
  </si>
  <si>
    <t xml:space="preserve">Samuel</t>
  </si>
  <si>
    <t xml:space="preserve">Venezolana</t>
  </si>
  <si>
    <t xml:space="preserve">Quintero.samuel.et21.26@gmail.com</t>
  </si>
  <si>
    <t xml:space="preserve">Venezuela </t>
  </si>
  <si>
    <t xml:space="preserve">Villa ortuzar</t>
  </si>
  <si>
    <t xml:space="preserve">14 de julio 1333</t>
  </si>
  <si>
    <t xml:space="preserve">Dalyveth Jessenia"</t>
  </si>
  <si>
    <t xml:space="preserve">Ruiz Becerra</t>
  </si>
  <si>
    <t xml:space="preserve">Jesseruizb@gmail.com</t>
  </si>
  <si>
    <t xml:space="preserve">1170593437 (Padre)</t>
  </si>
  <si>
    <t xml:space="preserve">https://docs.google.com/spreadsheets/d/1OduXZ9483Fs8Doynyc28E4-rtLYUseY2dYhmjMfHRPQ/edit?usp=drivesdk</t>
  </si>
  <si>
    <t xml:space="preserve">Rabodacho</t>
  </si>
  <si>
    <t xml:space="preserve">rabodacho.joaquin.et21.25@gmail.com</t>
  </si>
  <si>
    <t xml:space="preserve">La Matanza</t>
  </si>
  <si>
    <t xml:space="preserve">Mencia</t>
  </si>
  <si>
    <t xml:space="preserve">nadiamencia2323@gmail.com</t>
  </si>
  <si>
    <t xml:space="preserve">https://docs.google.com/spreadsheets/d/1C4TVQUsApUoqOmvWi204o_KZM4Y8pp2Q7hxhGsGMMW0/edit?usp=drivesdk</t>
  </si>
  <si>
    <t xml:space="preserve">https://drive.google.com/drive/folders/1xo3JI8FBV3Q9_v4mXivLAOzjnGI1gIeg</t>
  </si>
  <si>
    <t xml:space="preserve">Julio Federico</t>
  </si>
  <si>
    <t xml:space="preserve">ramirez.federico.et21.25@gmail.com</t>
  </si>
  <si>
    <t xml:space="preserve">Yudith</t>
  </si>
  <si>
    <t xml:space="preserve">Villar</t>
  </si>
  <si>
    <t xml:space="preserve">villaryudith@gmail.com</t>
  </si>
  <si>
    <t xml:space="preserve">Materias pendientes Historia -Matemática-Tecnología </t>
  </si>
  <si>
    <t xml:space="preserve">https://docs.google.com/spreadsheets/d/19H0IezNXqv7Kg3ziJpSK1COSH0WWBAwUTua8fY0pGOA/edit?usp=drivesdk</t>
  </si>
  <si>
    <t xml:space="preserve">Ramirez Riveros</t>
  </si>
  <si>
    <t xml:space="preserve">Uma Yazmin</t>
  </si>
  <si>
    <t xml:space="preserve">23/09/2012</t>
  </si>
  <si>
    <t xml:space="preserve">ramirez.uma.et21.26@gmail.com</t>
  </si>
  <si>
    <t xml:space="preserve">Pcia de Bs As</t>
  </si>
  <si>
    <t xml:space="preserve">Jose Leon Suarez</t>
  </si>
  <si>
    <t xml:space="preserve">Lourdes</t>
  </si>
  <si>
    <t xml:space="preserve">Riveros Jara (Madre)</t>
  </si>
  <si>
    <t xml:space="preserve">patriiriveros07@gmail.com</t>
  </si>
  <si>
    <t xml:space="preserve">https://docs.google.com/spreadsheets/d/1c_7Hy6JLUVsvj9on3mYrF_rCNdF2yYKGyqZCYP6aJlg/edit?usp=drivesdk</t>
  </si>
  <si>
    <t xml:space="preserve">Ramirez Yrazusta</t>
  </si>
  <si>
    <t xml:space="preserve">16/07/2008</t>
  </si>
  <si>
    <t xml:space="preserve">ramirez.dante.et21.22@gmail.com</t>
  </si>
  <si>
    <t xml:space="preserve">CABA </t>
  </si>
  <si>
    <t xml:space="preserve">Villa Pueyrredón </t>
  </si>
  <si>
    <t xml:space="preserve">Cochrane 2504</t>
  </si>
  <si>
    <t xml:space="preserve">Maria Florencia </t>
  </si>
  <si>
    <t xml:space="preserve">Yrazusta</t>
  </si>
  <si>
    <t xml:space="preserve">floryrazusta@gmail.com</t>
  </si>
  <si>
    <t xml:space="preserve">https://docs.google.com/spreadsheets/d/1D4uKUG52M-cnbMRy8Ruz__9gQQpAWVQ1D_z5z-rrq4o/edit?usp=drivesdk</t>
  </si>
  <si>
    <t xml:space="preserve">Ramos</t>
  </si>
  <si>
    <t xml:space="preserve">Juan Pablo</t>
  </si>
  <si>
    <t xml:space="preserve">ramos.juan.et21.25@gmail.com</t>
  </si>
  <si>
    <t xml:space="preserve">juanr577@alu.bue.edu.ar</t>
  </si>
  <si>
    <t xml:space="preserve">mirgomez2011@gmail.com </t>
  </si>
  <si>
    <t xml:space="preserve">1132994179 (padre)</t>
  </si>
  <si>
    <t xml:space="preserve">Domanti,Ezequiel</t>
  </si>
  <si>
    <t xml:space="preserve">https://docs.google.com/spreadsheets/d/129r5lQHIOPwPSygNLUmSV93yVbGhqksNJaHF1V1X5g0/edit?usp=drivesdk</t>
  </si>
  <si>
    <t xml:space="preserve">Facundo</t>
  </si>
  <si>
    <t xml:space="preserve">RAMOS.FACUNDO.ET21.23@GMAIL.COM</t>
  </si>
  <si>
    <t xml:space="preserve">NUÑEZ</t>
  </si>
  <si>
    <t xml:space="preserve">AMENABAR 3230</t>
  </si>
  <si>
    <t xml:space="preserve">RAUL</t>
  </si>
  <si>
    <t xml:space="preserve">RAMOS</t>
  </si>
  <si>
    <t xml:space="preserve">2FALU3230@GMAIL.COM</t>
  </si>
  <si>
    <t xml:space="preserve">https://docs.google.com/spreadsheets/d/1lu7ryc384gdnuZwVpuoLL9SVwDBcHVg7zRAQCWpB8LQ/edit?usp=drivesdk</t>
  </si>
  <si>
    <t xml:space="preserve">Julio</t>
  </si>
  <si>
    <t xml:space="preserve">raamos.julio.et21.24@gmail.com</t>
  </si>
  <si>
    <t xml:space="preserve">julior079@alu.bue.edu.ar</t>
  </si>
  <si>
    <t xml:space="preserve">Capdevila 3497</t>
  </si>
  <si>
    <t xml:space="preserve">C1431FKO Villa Urquiza, Cdad. Autónoma de Buenos Aires</t>
  </si>
  <si>
    <t xml:space="preserve">Maria</t>
  </si>
  <si>
    <t xml:space="preserve">maryramoscabello@gmail.com</t>
  </si>
  <si>
    <t xml:space="preserve">nada</t>
  </si>
  <si>
    <t xml:space="preserve">https://docs.google.com/spreadsheets/d/1W3FjyAt87UkG4NWC6Hk1QmZb1NRhrDPwSZg-s-uE5fQ/edit?usp=drivesdk</t>
  </si>
  <si>
    <t xml:space="preserve">Ranellucci</t>
  </si>
  <si>
    <t xml:space="preserve">28/7/2009</t>
  </si>
  <si>
    <t xml:space="preserve">ranellucci.valentino.et21.23@gmail.com</t>
  </si>
  <si>
    <t xml:space="preserve">@alu.bue.com.ar</t>
  </si>
  <si>
    <t xml:space="preserve">Devoto</t>
  </si>
  <si>
    <t xml:space="preserve">Concordia</t>
  </si>
  <si>
    <t xml:space="preserve">Adriana </t>
  </si>
  <si>
    <t xml:space="preserve">11 6625 4800</t>
  </si>
  <si>
    <t xml:space="preserve">adru2015@gmail</t>
  </si>
  <si>
    <t xml:space="preserve">https://docs.google.com/spreadsheets/d/1muvzbenR-7F3vVxwWBSKxJLUmhmEUwcMHNph3oCNP58/edit?usp=drivesdk</t>
  </si>
  <si>
    <t xml:space="preserve">Raskovsky Silveira d'Avila</t>
  </si>
  <si>
    <t xml:space="preserve">14/12/2010</t>
  </si>
  <si>
    <t xml:space="preserve">raskovsky.emma.et21.24@gmail.com</t>
  </si>
  <si>
    <t xml:space="preserve">Alu.bue.edu.ar</t>
  </si>
  <si>
    <t xml:space="preserve">Blanco encalada 3012</t>
  </si>
  <si>
    <t xml:space="preserve">Silveira d'Avila </t>
  </si>
  <si>
    <t xml:space="preserve">patosildav@gmail.com</t>
  </si>
  <si>
    <t xml:space="preserve">Uso de anteojos y alergia a la Cefalexina </t>
  </si>
  <si>
    <t xml:space="preserve">https://docs.google.com/spreadsheets/d/1PBzi5AO-txd0Ntz3zuQx8IBrj1n9eu1qgkJB3sf7nyk/edit?usp=drivesdk</t>
  </si>
  <si>
    <t xml:space="preserve">Rebudero Cuevas</t>
  </si>
  <si>
    <t xml:space="preserve">Jonas Emiliano</t>
  </si>
  <si>
    <t xml:space="preserve">28/09/2010</t>
  </si>
  <si>
    <t xml:space="preserve">rebudero.joni.et21.24@gmail.com</t>
  </si>
  <si>
    <t xml:space="preserve">jonasr277@alu.bue.edu.ar</t>
  </si>
  <si>
    <t xml:space="preserve">Comuna 13,Belgrano </t>
  </si>
  <si>
    <t xml:space="preserve">Moldes 2185</t>
  </si>
  <si>
    <t xml:space="preserve">Alejandra Elizabet</t>
  </si>
  <si>
    <t xml:space="preserve">Cuevas</t>
  </si>
  <si>
    <t xml:space="preserve">11 3792 9639</t>
  </si>
  <si>
    <t xml:space="preserve">alejandraelizabetcuevas16@gmail.com</t>
  </si>
  <si>
    <t xml:space="preserve">Gagliardi, Ricardo</t>
  </si>
  <si>
    <t xml:space="preserve">https://docs.google.com/spreadsheets/d/1c-oi87na8wP51MI_5ebK0Fo3Iy1khv90BUafFZRjphE/edit?usp=drivesdk</t>
  </si>
  <si>
    <t xml:space="preserve">Recalde</t>
  </si>
  <si>
    <t xml:space="preserve">Ian Lucas Ezequiel</t>
  </si>
  <si>
    <t xml:space="preserve">14/03/2008</t>
  </si>
  <si>
    <t xml:space="preserve">ian.recalde.et21.21@gmail.com</t>
  </si>
  <si>
    <t xml:space="preserve">ianr490@alu.bue.edu.ar</t>
  </si>
  <si>
    <t xml:space="preserve">Caba, Capital Federal</t>
  </si>
  <si>
    <t xml:space="preserve">Amambay 3513</t>
  </si>
  <si>
    <t xml:space="preserve">Marcela Rita</t>
  </si>
  <si>
    <t xml:space="preserve">Montull</t>
  </si>
  <si>
    <t xml:space="preserve">margerfla@gmail.com</t>
  </si>
  <si>
    <t xml:space="preserve">Flavio </t>
  </si>
  <si>
    <t xml:space="preserve">11 4408-8383</t>
  </si>
  <si>
    <t xml:space="preserve">recaldeflavio@gmail.com</t>
  </si>
  <si>
    <t xml:space="preserve">https://docs.google.com/spreadsheets/d/1yYPPyM3xYvVF9bgFOSGh5q-_uZgHSCatSysCsHHnSK8/edit?usp=drivesdk</t>
  </si>
  <si>
    <t xml:space="preserve">Repossini Garcia</t>
  </si>
  <si>
    <t xml:space="preserve">Ludmila Aylin</t>
  </si>
  <si>
    <t xml:space="preserve">MEXICANA</t>
  </si>
  <si>
    <t xml:space="preserve">repossini.ludmila.et21.26@gmail.com</t>
  </si>
  <si>
    <t xml:space="preserve">ludmilar620@alu.bue.edu.ar</t>
  </si>
  <si>
    <t xml:space="preserve">ARIAS 33</t>
  </si>
  <si>
    <t xml:space="preserve">Rebeca</t>
  </si>
  <si>
    <t xml:space="preserve">García Sosa</t>
  </si>
  <si>
    <t xml:space="preserve">rebecagarciasosa@yahoo.com</t>
  </si>
  <si>
    <t xml:space="preserve">https://docs.google.com/spreadsheets/d/1TKPGFMkf6jp0P_o4mv7usObH1LvCxXjcT6sgV_GAPgA/edit?usp=drivesdk</t>
  </si>
  <si>
    <t xml:space="preserve">Ricci</t>
  </si>
  <si>
    <t xml:space="preserve">Leonidas Angelo</t>
  </si>
  <si>
    <t xml:space="preserve">16/08/2012</t>
  </si>
  <si>
    <t xml:space="preserve">ricci.leonidas.et21.26@gmail.com</t>
  </si>
  <si>
    <t xml:space="preserve">Maria Victoria</t>
  </si>
  <si>
    <t xml:space="preserve">Zegarra Alarcón</t>
  </si>
  <si>
    <t xml:space="preserve">victoria.zegarra@hotmail.com</t>
  </si>
  <si>
    <t xml:space="preserve">https://docs.google.com/spreadsheets/d/1s2aElS9i0JOC1xi7rvU3f4q8NweDJ_CXhRK0M1yESR0/edit?usp=drivesdk</t>
  </si>
  <si>
    <t xml:space="preserve">Riesgo</t>
  </si>
  <si>
    <t xml:space="preserve">Benjamin Alejandro</t>
  </si>
  <si>
    <t xml:space="preserve">14/06/12</t>
  </si>
  <si>
    <t xml:space="preserve">riesgo.benjamin.et21.26@gmail.com</t>
  </si>
  <si>
    <t xml:space="preserve">@alu.com.ar</t>
  </si>
  <si>
    <t xml:space="preserve">Larisa</t>
  </si>
  <si>
    <t xml:space="preserve">Mykhaylovskaya</t>
  </si>
  <si>
    <t xml:space="preserve">ludmylakorzhovan@gmail.com </t>
  </si>
  <si>
    <t xml:space="preserve">padre</t>
  </si>
  <si>
    <t xml:space="preserve">aeriel1972@gmail.com</t>
  </si>
  <si>
    <t xml:space="preserve">https://docs.google.com/spreadsheets/d/1-jvFfiMlCj_nxxLP85NLSCI_dAUbpkjTBsipop4VqiI/edit?usp=drivesdk</t>
  </si>
  <si>
    <t xml:space="preserve">Rincon Arieta</t>
  </si>
  <si>
    <t xml:space="preserve">Juan Bautista</t>
  </si>
  <si>
    <t xml:space="preserve">25/03/2012</t>
  </si>
  <si>
    <t xml:space="preserve">rincon.bautista.et21.25@gmail.com</t>
  </si>
  <si>
    <t xml:space="preserve">juanr5527@alu.bue.edu.ar</t>
  </si>
  <si>
    <t xml:space="preserve">Madre)</t>
  </si>
  <si>
    <t xml:space="preserve">rocioarrieta@hotmail.com</t>
  </si>
  <si>
    <t xml:space="preserve">1130800552 (Padre)</t>
  </si>
  <si>
    <t xml:space="preserve">https://docs.google.com/spreadsheets/d/1F87Tf91_Iqtp2kT6A52HdT8lfmFyEQSezfDyOK87k4Y/edit?usp=drivesdk</t>
  </si>
  <si>
    <t xml:space="preserve">Rios</t>
  </si>
  <si>
    <t xml:space="preserve">Mauro Alberto</t>
  </si>
  <si>
    <t xml:space="preserve">SIN DATOSS</t>
  </si>
  <si>
    <t xml:space="preserve">13/03/2013</t>
  </si>
  <si>
    <t xml:space="preserve">rios.mauro.et21.26@gmail.com</t>
  </si>
  <si>
    <t xml:space="preserve">Maria Elizabeth"</t>
  </si>
  <si>
    <t xml:space="preserve">"Calizaya</t>
  </si>
  <si>
    <t xml:space="preserve">calizayamaria20@gmail.com</t>
  </si>
  <si>
    <t xml:space="preserve">https://docs.google.com/spreadsheets/d/1-JtGdnnVBLgm1HgdrGvwIe9q8SPmXCM3rrRfFmvFzUg/edit?usp=drivesdk</t>
  </si>
  <si>
    <t xml:space="preserve">Rius</t>
  </si>
  <si>
    <t xml:space="preserve">Tobias Arian</t>
  </si>
  <si>
    <t xml:space="preserve">17/03/2012</t>
  </si>
  <si>
    <t xml:space="preserve">ruiz.tobias.et21.25@gmail.com</t>
  </si>
  <si>
    <t xml:space="preserve">Debora</t>
  </si>
  <si>
    <t xml:space="preserve">lindner</t>
  </si>
  <si>
    <t xml:space="preserve">deborariuz@gmail.com</t>
  </si>
  <si>
    <t xml:space="preserve">Deboora</t>
  </si>
  <si>
    <t xml:space="preserve">Lindner</t>
  </si>
  <si>
    <t xml:space="preserve">1164649836 (Madre)</t>
  </si>
  <si>
    <t xml:space="preserve">https://docs.google.com/spreadsheets/d/1uzienf5GSN-CzeUzdl7fIF8ElS3sYfK6JSu4tncPem0/edit?usp=drivesdk</t>
  </si>
  <si>
    <t xml:space="preserve">Rivas Palomino</t>
  </si>
  <si>
    <t xml:space="preserve">Valentina</t>
  </si>
  <si>
    <t xml:space="preserve">30/06/2008</t>
  </si>
  <si>
    <t xml:space="preserve">rivas.valentina.et21.22@gmail.com</t>
  </si>
  <si>
    <t xml:space="preserve">valentinar644@alu.bue.edu.ar</t>
  </si>
  <si>
    <t xml:space="preserve">manuela pedraza 3780</t>
  </si>
  <si>
    <t xml:space="preserve">jenny</t>
  </si>
  <si>
    <t xml:space="preserve">palomino</t>
  </si>
  <si>
    <t xml:space="preserve">jenny114@hotmail.com</t>
  </si>
  <si>
    <t xml:space="preserve">https://docs.google.com/spreadsheets/d/1TSceizLY75wgQIa4D7TMx-CXbq4qQ170juG9a3nfwxc/edit?usp=drivesdk</t>
  </si>
  <si>
    <t xml:space="preserve">Aaron Nahum</t>
  </si>
  <si>
    <t xml:space="preserve">22/03/2013</t>
  </si>
  <si>
    <t xml:space="preserve">rivera.aaron.et21.26@gmail.com</t>
  </si>
  <si>
    <t xml:space="preserve">aaronr1304@alu.bue.edu.ar</t>
  </si>
  <si>
    <t xml:space="preserve">Blanco Encalada 2488</t>
  </si>
  <si>
    <t xml:space="preserve">Anabella</t>
  </si>
  <si>
    <t xml:space="preserve">Juarez</t>
  </si>
  <si>
    <t xml:space="preserve">juarezanabella@gmail.com</t>
  </si>
  <si>
    <t xml:space="preserve">INTOLERANTE A LA LACTOSA</t>
  </si>
  <si>
    <t xml:space="preserve">https://docs.google.com/spreadsheets/d/1b_5NYHw5y-pBTXstsuv2qQ172BlFqm9n7Kd6DUjCsks/edit?usp=drivesdk</t>
  </si>
  <si>
    <t xml:space="preserve">Nicolas</t>
  </si>
  <si>
    <t xml:space="preserve">25/06/2013</t>
  </si>
  <si>
    <t xml:space="preserve">rivera.nicolas.et21.26@gmail.com</t>
  </si>
  <si>
    <t xml:space="preserve">@alu.com.ar </t>
  </si>
  <si>
    <t xml:space="preserve">Aldana</t>
  </si>
  <si>
    <t xml:space="preserve">Jaime</t>
  </si>
  <si>
    <t xml:space="preserve">aldanaljaime@gmail.com</t>
  </si>
  <si>
    <t xml:space="preserve">https://docs.google.com/spreadsheets/d/1fHXc1bNW__mA9U5mZOojkhpbys_xFd_dCEXaOHqzK9U/edit?usp=drivesdk</t>
  </si>
  <si>
    <t xml:space="preserve">Rivero Lauría Woelfert</t>
  </si>
  <si>
    <t xml:space="preserve">29/06/12</t>
  </si>
  <si>
    <t xml:space="preserve">rivero.joaquin.et21.25@gmail.com</t>
  </si>
  <si>
    <t xml:space="preserve">Lorena </t>
  </si>
  <si>
    <t xml:space="preserve">Woelfert</t>
  </si>
  <si>
    <t xml:space="preserve">woelfertlorena@gmail.com/noelferlorena@gmail.com</t>
  </si>
  <si>
    <t xml:space="preserve">https://docs.google.com/spreadsheets/d/1i4Zez9iHUkqg1HvjwXi5Ees7MLhV4yL8pQaBvLg9NYc/edit?usp=drivesdk</t>
  </si>
  <si>
    <t xml:space="preserve">Riveros Lopez</t>
  </si>
  <si>
    <t xml:space="preserve">24/12/2011</t>
  </si>
  <si>
    <t xml:space="preserve">nahuel.rivero.et21.25@gmail.com</t>
  </si>
  <si>
    <t xml:space="preserve">alu.@edu.ar</t>
  </si>
  <si>
    <t xml:space="preserve">Villa Zagala</t>
  </si>
  <si>
    <t xml:space="preserve">V</t>
  </si>
  <si>
    <t xml:space="preserve">Bianco</t>
  </si>
  <si>
    <t xml:space="preserve">a.biancoqbue.edu.ar</t>
  </si>
  <si>
    <t xml:space="preserve">Bianco, Adriana</t>
  </si>
  <si>
    <t xml:space="preserve">https://docs.google.com/spreadsheets/d/1DhIFJ6SlT95Zqa_mQ6e8Ugz1Ez5cFZ01EbxHdjlxPCI/edit?usp=drivesdk</t>
  </si>
  <si>
    <t xml:space="preserve">Roa Vega</t>
  </si>
  <si>
    <t xml:space="preserve">Agostina</t>
  </si>
  <si>
    <t xml:space="preserve">29/04/2008</t>
  </si>
  <si>
    <t xml:space="preserve">vega.agostina.et21.21@gmail.com</t>
  </si>
  <si>
    <t xml:space="preserve">vega.agostinaet21@gmail.com</t>
  </si>
  <si>
    <t xml:space="preserve">CGP12</t>
  </si>
  <si>
    <t xml:space="preserve">Helguera 4475</t>
  </si>
  <si>
    <t xml:space="preserve">Andrea</t>
  </si>
  <si>
    <t xml:space="preserve">Vega</t>
  </si>
  <si>
    <t xml:space="preserve">andrevega.bj@gmail.com</t>
  </si>
  <si>
    <t xml:space="preserve">Pastilla de Tiroides </t>
  </si>
  <si>
    <t xml:space="preserve">https://docs.google.com/spreadsheets/d/1_DX7U8380aPWL4OhgYFnXX6mk5xIKabW6S5cQPae2Xk/edit?usp=drivesdk</t>
  </si>
  <si>
    <t xml:space="preserve">Rodriguez</t>
  </si>
  <si>
    <t xml:space="preserve">Alexis</t>
  </si>
  <si>
    <t xml:space="preserve">29/04/2012</t>
  </si>
  <si>
    <t xml:space="preserve">rodriguez.alexis.et21.25@gmail.com</t>
  </si>
  <si>
    <t xml:space="preserve">alu@bue.edu.ar</t>
  </si>
  <si>
    <t xml:space="preserve">a.bianco@bue.edu.ar</t>
  </si>
  <si>
    <t xml:space="preserve">https://docs.google.com/spreadsheets/d/1IbmSt7SK5GdBSzeKdi7zTxqBCzrxlwKfhUV09B0zNy8/edit?usp=drivesdk</t>
  </si>
  <si>
    <t xml:space="preserve">Dylan</t>
  </si>
  <si>
    <t xml:space="preserve">rodriguez.dylan.et21.24@gmail.com</t>
  </si>
  <si>
    <t xml:space="preserve">Coghlan</t>
  </si>
  <si>
    <t xml:space="preserve">Estomba 3490</t>
  </si>
  <si>
    <t xml:space="preserve">Maria </t>
  </si>
  <si>
    <t xml:space="preserve">COSTILLA</t>
  </si>
  <si>
    <t xml:space="preserve">11 5875 5260</t>
  </si>
  <si>
    <t xml:space="preserve">marecostilla@gmail.com</t>
  </si>
  <si>
    <t xml:space="preserve">Sabrina </t>
  </si>
  <si>
    <t xml:space="preserve">11 5346 8316</t>
  </si>
  <si>
    <t xml:space="preserve">sasa99@gmail.com</t>
  </si>
  <si>
    <t xml:space="preserve">Manzanel, Lucía</t>
  </si>
  <si>
    <t xml:space="preserve">https://docs.google.com/spreadsheets/d/1oUFJ0bRBfoeHV28g1TfMqk-ruygqCGZvJ0pfaEupNOE/edit?usp=drivesdk</t>
  </si>
  <si>
    <t xml:space="preserve">Rodriguez Casagrande</t>
  </si>
  <si>
    <t xml:space="preserve">Alejandro Maximo</t>
  </si>
  <si>
    <t xml:space="preserve">18/12/2009</t>
  </si>
  <si>
    <t xml:space="preserve">rodriguez.maximo.et21.23@gmail.com</t>
  </si>
  <si>
    <t xml:space="preserve">Garcia del rio 2646</t>
  </si>
  <si>
    <t xml:space="preserve">Ana Veronica</t>
  </si>
  <si>
    <t xml:space="preserve">Casagrande</t>
  </si>
  <si>
    <t xml:space="preserve">casagrandeveronica@hotmail.com</t>
  </si>
  <si>
    <t xml:space="preserve">https://docs.google.com/spreadsheets/d/1TPQytnC51B_XFysI4pDeCVmodRU31YLmFquI_g8e9iU/edit?usp=drivesdk</t>
  </si>
  <si>
    <t xml:space="preserve">Rodríguez Söderlund</t>
  </si>
  <si>
    <t xml:space="preserve">Manuel</t>
  </si>
  <si>
    <t xml:space="preserve">26/12/2010</t>
  </si>
  <si>
    <t xml:space="preserve">rodriguez.manuel.et21.24@gmail.com</t>
  </si>
  <si>
    <t xml:space="preserve">Vuelta de Obligado 2371 1b</t>
  </si>
  <si>
    <t xml:space="preserve">Maria Elvira</t>
  </si>
  <si>
    <t xml:space="preserve">Söderlund</t>
  </si>
  <si>
    <t xml:space="preserve">maria.soderlund@hospitalitaliano.org.ar</t>
  </si>
  <si>
    <t xml:space="preserve">Pablo Oscar</t>
  </si>
  <si>
    <t xml:space="preserve">pablorodrig16@gmail.com</t>
  </si>
  <si>
    <t xml:space="preserve">https://docs.google.com/spreadsheets/d/1Y-_aDL7ykrRUyt_6Q8IGGBPgskC0KTQKGG4L7206zN8/edit?usp=drivesdk</t>
  </si>
  <si>
    <t xml:space="preserve">Rodriguez Torres </t>
  </si>
  <si>
    <t xml:space="preserve">Santiago Jeremias</t>
  </si>
  <si>
    <t xml:space="preserve">21/08/2012</t>
  </si>
  <si>
    <t xml:space="preserve">rodriguez.santiago.et21.26@gmail.com</t>
  </si>
  <si>
    <t xml:space="preserve">San Isidro</t>
  </si>
  <si>
    <t xml:space="preserve">Janet</t>
  </si>
  <si>
    <t xml:space="preserve">Torres</t>
  </si>
  <si>
    <t xml:space="preserve">janetmariatorres33@gmail.com</t>
  </si>
  <si>
    <t xml:space="preserve">https://docs.google.com/spreadsheets/d/1kbBXmYJEM0VUvqHe8sVQt6FnG6ZqD9dJCJosmrW0m0M/edit?usp=drivesdk</t>
  </si>
  <si>
    <t xml:space="preserve">Rodriguez Use</t>
  </si>
  <si>
    <t xml:space="preserve">Pedro Nahuel</t>
  </si>
  <si>
    <t xml:space="preserve">27/10/2012</t>
  </si>
  <si>
    <t xml:space="preserve">rodriguez.pedro.et21.26@gmail.com</t>
  </si>
  <si>
    <t xml:space="preserve">Luis María Campos 1575</t>
  </si>
  <si>
    <t xml:space="preserve">Mariano Rodríguez</t>
  </si>
  <si>
    <t xml:space="preserve">Usé</t>
  </si>
  <si>
    <t xml:space="preserve">marianorodriguez79@yahoo.com.ar</t>
  </si>
  <si>
    <t xml:space="preserve">Tamara</t>
  </si>
  <si>
    <t xml:space="preserve">Pérez Tebele</t>
  </si>
  <si>
    <t xml:space="preserve">tamaratebele@gmail.com</t>
  </si>
  <si>
    <t xml:space="preserve">NO_ ESPECTRO AUTISTA</t>
  </si>
  <si>
    <t xml:space="preserve">https://docs.google.com/spreadsheets/d/1s8Vh-xM9gR2ezn0O2RIWXgdEfJ4Wmek8e30rD_2AOnk/edit?usp=drivesdk</t>
  </si>
  <si>
    <t xml:space="preserve">Celeste Mia</t>
  </si>
  <si>
    <t xml:space="preserve">24/11/2011</t>
  </si>
  <si>
    <t xml:space="preserve">rodriguez.celeste.et21.25@gmail.com</t>
  </si>
  <si>
    <t xml:space="preserve">celester5677@alu.bue.edu.ar</t>
  </si>
  <si>
    <t xml:space="preserve">Madre</t>
  </si>
  <si>
    <t xml:space="preserve">lilianaacosta1973.la@gmail.com</t>
  </si>
  <si>
    <t xml:space="preserve">1167370897 (Padre)</t>
  </si>
  <si>
    <t xml:space="preserve">https://docs.google.com/spreadsheets/d/1pfo_6BxuBTiTp4tJ0_BIvDi1EdIs-FrSletCJw0G-nU/edit?usp=drivesdk</t>
  </si>
  <si>
    <t xml:space="preserve">Rojas</t>
  </si>
  <si>
    <t xml:space="preserve">Apolo</t>
  </si>
  <si>
    <t xml:space="preserve">rojas.apolo.et21.24@gmail.com</t>
  </si>
  <si>
    <t xml:space="preserve">apolor239@alu.bue.edu.ar</t>
  </si>
  <si>
    <t xml:space="preserve">Saveedra</t>
  </si>
  <si>
    <t xml:space="preserve">Pico 4537</t>
  </si>
  <si>
    <t xml:space="preserve">Marisol</t>
  </si>
  <si>
    <t xml:space="preserve">Gonzalez</t>
  </si>
  <si>
    <t xml:space="preserve">marisolgonzaleznieva@gmail.com</t>
  </si>
  <si>
    <t xml:space="preserve">https://docs.google.com/spreadsheets/d/1bgsBIwGgTuYo7ckng55n11_3mFQz_8xkb-1IL-OgEmo/edit?usp=drivesdk</t>
  </si>
  <si>
    <t xml:space="preserve">17/04/2009</t>
  </si>
  <si>
    <t xml:space="preserve">rojas.federico.et21.22@gmail.com</t>
  </si>
  <si>
    <t xml:space="preserve">federicor544@alu.bue.edu.ar</t>
  </si>
  <si>
    <t xml:space="preserve">Nuñez </t>
  </si>
  <si>
    <t xml:space="preserve">Quesada 2052</t>
  </si>
  <si>
    <t xml:space="preserve">Claudia</t>
  </si>
  <si>
    <t xml:space="preserve">Rodríguez </t>
  </si>
  <si>
    <t xml:space="preserve">clauro19@yahoo.es</t>
  </si>
  <si>
    <t xml:space="preserve">https://docs.google.com/spreadsheets/d/1Kk1H06h97RbSv4aukoVtZDk23JL3ut9zAuSznhIBeNI/edit?usp=drivesdk</t>
  </si>
  <si>
    <t xml:space="preserve">Roldan</t>
  </si>
  <si>
    <t xml:space="preserve">28/08/2009</t>
  </si>
  <si>
    <t xml:space="preserve">roldan.ignacio.et21.23@gmail.com</t>
  </si>
  <si>
    <t xml:space="preserve">villa urquiza </t>
  </si>
  <si>
    <t xml:space="preserve">olazabal 5102</t>
  </si>
  <si>
    <t xml:space="preserve">juan</t>
  </si>
  <si>
    <t xml:space="preserve">ROLDAN</t>
  </si>
  <si>
    <t xml:space="preserve">roldan2808@gmail.com</t>
  </si>
  <si>
    <t xml:space="preserve">natalia</t>
  </si>
  <si>
    <t xml:space="preserve">MANLLA</t>
  </si>
  <si>
    <t xml:space="preserve">ignatu28@gmail.com</t>
  </si>
  <si>
    <t xml:space="preserve">https://docs.google.com/spreadsheets/d/1ra2BE4B6j1EVmRA1nULOXZJ7eCml7CDvzyhbcPR61eg/edit?usp=drivesdk</t>
  </si>
  <si>
    <t xml:space="preserve">Loana</t>
  </si>
  <si>
    <t xml:space="preserve">29/12/2012</t>
  </si>
  <si>
    <t xml:space="preserve">roldan.loana.et21.26@gmail.com</t>
  </si>
  <si>
    <t xml:space="preserve">Barrio Prte Mitre Casa 43 Mnza 3, entre Arias y Posta</t>
  </si>
  <si>
    <t xml:space="preserve">Gimena</t>
  </si>
  <si>
    <t xml:space="preserve">Drago</t>
  </si>
  <si>
    <t xml:space="preserve">Abigailgimenadrago@gmail.com </t>
  </si>
  <si>
    <t xml:space="preserve">martinroldan385@gmail.com</t>
  </si>
  <si>
    <t xml:space="preserve">Astigmatismo y miopía</t>
  </si>
  <si>
    <t xml:space="preserve">https://docs.google.com/spreadsheets/d/1LhfPpNTiBvTakEM8KaNr4t0yt8fIBpScTFwdNJIIolw/edit?usp=drivesdk</t>
  </si>
  <si>
    <t xml:space="preserve">Romero de Vargas</t>
  </si>
  <si>
    <t xml:space="preserve">Lucas</t>
  </si>
  <si>
    <t xml:space="preserve">29/03/12</t>
  </si>
  <si>
    <t xml:space="preserve">romero.lucas.et21.25@gmail.com</t>
  </si>
  <si>
    <t xml:space="preserve">Ingrid</t>
  </si>
  <si>
    <t xml:space="preserve">Vargas</t>
  </si>
  <si>
    <t xml:space="preserve">ingrid.d.vargas@hotmail.com</t>
  </si>
  <si>
    <t xml:space="preserve">https://docs.google.com/spreadsheets/d/1Ek04S6ByZ3KGI4Xla_kA6kSIPgp5unKentIjZxxiknk/edit?usp=drivesdk</t>
  </si>
  <si>
    <t xml:space="preserve">Rosales Martinez</t>
  </si>
  <si>
    <t xml:space="preserve">Nahiara Magali</t>
  </si>
  <si>
    <t xml:space="preserve">29/06/2011</t>
  </si>
  <si>
    <t xml:space="preserve">rosales.nahiara.et21.24@gmail.com</t>
  </si>
  <si>
    <t xml:space="preserve">Caba, Provincia de Buenos Aires</t>
  </si>
  <si>
    <t xml:space="preserve">Comuna 12, Saavedra </t>
  </si>
  <si>
    <t xml:space="preserve">Ramón Freire 3320</t>
  </si>
  <si>
    <t xml:space="preserve">Maria Ines</t>
  </si>
  <si>
    <t xml:space="preserve">martinezmariaines530@gmail.com</t>
  </si>
  <si>
    <t xml:space="preserve">https://docs.google.com/spreadsheets/d/1OVTPeFvCb2bU3hb6oLBwX3eCz4Qchvj1YiRKioE4Dsk/edit?usp=drivesdk</t>
  </si>
  <si>
    <t xml:space="preserve">Rossi</t>
  </si>
  <si>
    <t xml:space="preserve">Lautaro</t>
  </si>
  <si>
    <t xml:space="preserve">rossi.lautaro.et21.23@gmail.com</t>
  </si>
  <si>
    <t xml:space="preserve">Deheza 4681</t>
  </si>
  <si>
    <t xml:space="preserve">Gabriel</t>
  </si>
  <si>
    <t xml:space="preserve">rossigabriel100@hotmail.com</t>
  </si>
  <si>
    <t xml:space="preserve">Farisa</t>
  </si>
  <si>
    <t xml:space="preserve"> Aveni</t>
  </si>
  <si>
    <t xml:space="preserve">farisaaveni@hotmail.com</t>
  </si>
  <si>
    <t xml:space="preserve">https://docs.google.com/spreadsheets/d/1o9wZCp3uZ1u_vlz74B4u0lGSrFF8EW_MKIKX8AjfnVE/edit?usp=drivesdk</t>
  </si>
  <si>
    <t xml:space="preserve">Rossotti</t>
  </si>
  <si>
    <t xml:space="preserve"> Francesco</t>
  </si>
  <si>
    <t xml:space="preserve">rossotti.francesco.et21.25@gmail.com</t>
  </si>
  <si>
    <t xml:space="preserve">francescor093@alu.bue.edu.ar</t>
  </si>
  <si>
    <t xml:space="preserve">mercedescalvete77@gmail.com</t>
  </si>
  <si>
    <t xml:space="preserve">1159737327 (Padre)</t>
  </si>
  <si>
    <t xml:space="preserve">https://docs.google.com/spreadsheets/d/1vScHdoQOqnE2F9-hk1VnAMe1MsoREjDt9dqsrlXgHcQ/edit?usp=drivesdk</t>
  </si>
  <si>
    <t xml:space="preserve">Rovira Neri</t>
  </si>
  <si>
    <t xml:space="preserve">Sebastian </t>
  </si>
  <si>
    <t xml:space="preserve">venezolano</t>
  </si>
  <si>
    <t xml:space="preserve">25/09/2010</t>
  </si>
  <si>
    <t xml:space="preserve">rovira.sebastian.et21.24@gmail.com</t>
  </si>
  <si>
    <t xml:space="preserve">belgrano</t>
  </si>
  <si>
    <t xml:space="preserve">3 de febrero 2419</t>
  </si>
  <si>
    <t xml:space="preserve">Norelys</t>
  </si>
  <si>
    <t xml:space="preserve">Neri</t>
  </si>
  <si>
    <t xml:space="preserve">norelysneri@gmail.com</t>
  </si>
  <si>
    <t xml:space="preserve">https://docs.google.com/spreadsheets/d/1J4OOdZWR2nZxyZldsBsv-XKfiXHSiIJdSu5ZCJY3Pcw/edit?usp=drivesdk</t>
  </si>
  <si>
    <t xml:space="preserve">Rubies</t>
  </si>
  <si>
    <t xml:space="preserve">argentina </t>
  </si>
  <si>
    <t xml:space="preserve">rubies.iara.et21.22@gmail.com</t>
  </si>
  <si>
    <t xml:space="preserve">Ciudad de la Paz 3554</t>
  </si>
  <si>
    <t xml:space="preserve">Leticia </t>
  </si>
  <si>
    <t xml:space="preserve">Innocenzi </t>
  </si>
  <si>
    <t xml:space="preserve">Leticia_innocenzi@yahoo.com.ar</t>
  </si>
  <si>
    <t xml:space="preserve">Diego </t>
  </si>
  <si>
    <t xml:space="preserve">Rubies </t>
  </si>
  <si>
    <t xml:space="preserve"> 6411-5434</t>
  </si>
  <si>
    <t xml:space="preserve">Diegolrubies@gmail.com</t>
  </si>
  <si>
    <t xml:space="preserve">https://docs.google.com/spreadsheets/d/1UBmOsAAyjgogNY9pGyRLnJNiWD74Gc4Q3EQ8hHZuiJk/edit?usp=drivesdk</t>
  </si>
  <si>
    <t xml:space="preserve">Rumeau</t>
  </si>
  <si>
    <t xml:space="preserve">Jacinto</t>
  </si>
  <si>
    <t xml:space="preserve">rumeau.jacinto.et21.23@gmail.com</t>
  </si>
  <si>
    <t xml:space="preserve">rr.rumeau@gmail.com</t>
  </si>
  <si>
    <t xml:space="preserve">Cabe </t>
  </si>
  <si>
    <t xml:space="preserve">Caba </t>
  </si>
  <si>
    <t xml:space="preserve">Manuel Ugarte 3894</t>
  </si>
  <si>
    <t xml:space="preserve">Lisandro </t>
  </si>
  <si>
    <t xml:space="preserve">lisandrorumeau@gmail.com</t>
  </si>
  <si>
    <t xml:space="preserve">https://docs.google.com/spreadsheets/d/12tu-w7JcXSbvjIRgFbrb0A28E3yPmV15rXbLHtStJ48/edit?usp=drivesdk</t>
  </si>
  <si>
    <t xml:space="preserve">Salazar</t>
  </si>
  <si>
    <t xml:space="preserve">Erika Zhoe</t>
  </si>
  <si>
    <t xml:space="preserve">21/10/2012</t>
  </si>
  <si>
    <t xml:space="preserve">salazar.erika.et21.26@gmail.com</t>
  </si>
  <si>
    <t xml:space="preserve">Gisele</t>
  </si>
  <si>
    <t xml:space="preserve">Ciupperla (Madre)</t>
  </si>
  <si>
    <t xml:space="preserve">giseleciupperla@gmail.com</t>
  </si>
  <si>
    <t xml:space="preserve">https://docs.google.com/spreadsheets/d/1vKrAl4dDVrPEkhtJeSP4UwqPJVdXx2gv8JWkFaIldbM/edit?usp=drivesdk</t>
  </si>
  <si>
    <t xml:space="preserve">https://drive.google.com/drive/folders/1IPo3mfxu4RGASGQfvaUI0Vf4x5Tn32eD</t>
  </si>
  <si>
    <t xml:space="preserve">Salomon Falcone</t>
  </si>
  <si>
    <t xml:space="preserve">Maria Clara</t>
  </si>
  <si>
    <t xml:space="preserve">salomonfalcone.mariaclara.et21.25@gmail.com</t>
  </si>
  <si>
    <t xml:space="preserve"> Saavedra CP 1431</t>
  </si>
  <si>
    <t xml:space="preserve">jaramillo 4733</t>
  </si>
  <si>
    <t xml:space="preserve">Maria Julia</t>
  </si>
  <si>
    <t xml:space="preserve">Falcone</t>
  </si>
  <si>
    <t xml:space="preserve">mariajuliafalcone@yahoo.com.ar</t>
  </si>
  <si>
    <t xml:space="preserve">Diego Luis </t>
  </si>
  <si>
    <t xml:space="preserve">Salomon</t>
  </si>
  <si>
    <t xml:space="preserve">dsalomon@lumilagro.com.ar</t>
  </si>
  <si>
    <t xml:space="preserve">https://docs.google.com/spreadsheets/d/13xyjVlOsJ3L4sIhtAjGQSLAFYojFLQo3crVwKvdamQI/edit?usp=drivesdk</t>
  </si>
  <si>
    <t xml:space="preserve">Sanchez</t>
  </si>
  <si>
    <t xml:space="preserve">Thiago Benjamin</t>
  </si>
  <si>
    <t xml:space="preserve">16/02/2013</t>
  </si>
  <si>
    <t xml:space="preserve">sanchez.thiago.et21.26@gmail.com</t>
  </si>
  <si>
    <t xml:space="preserve">Jose leon Suarez</t>
  </si>
  <si>
    <t xml:space="preserve">andree.1993@hotmail.com</t>
  </si>
  <si>
    <t xml:space="preserve">https://docs.google.com/spreadsheets/d/13qbxjTFQHphhDAM_MyYydnlpIevcfv_XxRnYcM9CrGM/edit?usp=drivesdk</t>
  </si>
  <si>
    <t xml:space="preserve">Sanchez Souza</t>
  </si>
  <si>
    <t xml:space="preserve">Salvador Joaquin</t>
  </si>
  <si>
    <t xml:space="preserve">souza.salvador.et21.26@gmail.com</t>
  </si>
  <si>
    <t xml:space="preserve">Souza (Madre)</t>
  </si>
  <si>
    <t xml:space="preserve">rominajulietasouza@gmail.com</t>
  </si>
  <si>
    <t xml:space="preserve">https://docs.google.com/spreadsheets/d/1MQHEVwqELA2fMk3oYWO_MwZ8-7UhlVWOCRmvBvqZmMQ/edit?usp=drivesdk</t>
  </si>
  <si>
    <t xml:space="preserve">Santelle</t>
  </si>
  <si>
    <t xml:space="preserve">Candela Abigail</t>
  </si>
  <si>
    <t xml:space="preserve">Candela.santelle.et21.24@gmail.com</t>
  </si>
  <si>
    <t xml:space="preserve">@Alu.bue.edu.ar </t>
  </si>
  <si>
    <t xml:space="preserve">ciudad de la paz 3535</t>
  </si>
  <si>
    <t xml:space="preserve">Gisel </t>
  </si>
  <si>
    <t xml:space="preserve">Santelle </t>
  </si>
  <si>
    <t xml:space="preserve">gicamasantelle@gmail.com</t>
  </si>
  <si>
    <t xml:space="preserve">Marcos </t>
  </si>
  <si>
    <t xml:space="preserve">Disi </t>
  </si>
  <si>
    <t xml:space="preserve">Camagidisi@gmail.com</t>
  </si>
  <si>
    <t xml:space="preserve">https://docs.google.com/spreadsheets/d/1fv6SWfryJvl0xz2n6PZ9vcp1sNE0TuiN1uWv3VnAQDc/edit?usp=drivesdk</t>
  </si>
  <si>
    <t xml:space="preserve">Santisi</t>
  </si>
  <si>
    <t xml:space="preserve">19/12/2008</t>
  </si>
  <si>
    <t xml:space="preserve">Juan.santisi.et21.22@gmail.com</t>
  </si>
  <si>
    <t xml:space="preserve">juans584@alu.bue.edu.ar</t>
  </si>
  <si>
    <t xml:space="preserve">Sonia Virginia </t>
  </si>
  <si>
    <t xml:space="preserve">Nievas</t>
  </si>
  <si>
    <t xml:space="preserve">sonianievas@gmail.com</t>
  </si>
  <si>
    <t xml:space="preserve">Gerardo Damian</t>
  </si>
  <si>
    <t xml:space="preserve">gerardosantisi@gmail.com</t>
  </si>
  <si>
    <t xml:space="preserve">https://docs.google.com/spreadsheets/d/1RNALD2_DTch6Fcd-xN_212iyzxL1hgS1_pyMQ-hF_Ic/edit?usp=drivesdk</t>
  </si>
  <si>
    <t xml:space="preserve">Sapienza</t>
  </si>
  <si>
    <t xml:space="preserve">sapienza.juan.et21.22@gmail.com</t>
  </si>
  <si>
    <t xml:space="preserve">Vidal 2381</t>
  </si>
  <si>
    <t xml:space="preserve">C1428</t>
  </si>
  <si>
    <t xml:space="preserve">Maria Celestw</t>
  </si>
  <si>
    <t xml:space="preserve">Llanes Montes</t>
  </si>
  <si>
    <t xml:space="preserve">11 5753-3924</t>
  </si>
  <si>
    <t xml:space="preserve">celestellanesmontes@gmail.com</t>
  </si>
  <si>
    <t xml:space="preserve">https://docs.google.com/spreadsheets/d/1gO7rrwt-N0FjFIfVwPciF3Hq12suU52ffJ-uZLcmIOg/edit?usp=drivesdk</t>
  </si>
  <si>
    <t xml:space="preserve">Sarico Diaz</t>
  </si>
  <si>
    <t xml:space="preserve">Selene Valeria</t>
  </si>
  <si>
    <t xml:space="preserve">17/11/2026</t>
  </si>
  <si>
    <t xml:space="preserve">saricodiaz.selene.et21.26@gmail.com</t>
  </si>
  <si>
    <t xml:space="preserve">provincia de buenos aires</t>
  </si>
  <si>
    <t xml:space="preserve">Carlos Francisco Melo 5035</t>
  </si>
  <si>
    <t xml:space="preserve">Silvana Andrea</t>
  </si>
  <si>
    <t xml:space="preserve">Diaz</t>
  </si>
  <si>
    <t xml:space="preserve">9 11 2825-8647</t>
  </si>
  <si>
    <t xml:space="preserve">diazsilvanaandrea28@gmail.com</t>
  </si>
  <si>
    <t xml:space="preserve">asma bronquial leve</t>
  </si>
  <si>
    <t xml:space="preserve">https://docs.google.com/spreadsheets/d/1N3KHO7ORaL7NdYAIHrRUWADVPttTs4KJbmgqJaGVxn4/edit?usp=drivesdk</t>
  </si>
  <si>
    <t xml:space="preserve">Sarmiento Bopp</t>
  </si>
  <si>
    <t xml:space="preserve">Maximo Joaquin</t>
  </si>
  <si>
    <t xml:space="preserve">sarmiento.maximo.et21.26@gmail.com</t>
  </si>
  <si>
    <t xml:space="preserve">https://docs.google.com/spreadsheets/d/1Oil1jsHs4zjX3B8EEEY94MlbKnZBpmwdMYac1gw8Wtw/edit?usp=drivesdk</t>
  </si>
  <si>
    <t xml:space="preserve">Seba Cibeira</t>
  </si>
  <si>
    <t xml:space="preserve">Luciano Benito</t>
  </si>
  <si>
    <t xml:space="preserve">seba.luciano.et21.26@gmail.com</t>
  </si>
  <si>
    <t xml:space="preserve">https://docs.google.com/spreadsheets/d/1W7LER4r5mh1iONXBEknrRP5jjJfPUJjMu3AaXgpWw1s/edit?usp=drivesdk</t>
  </si>
  <si>
    <t xml:space="preserve">Seguin</t>
  </si>
  <si>
    <t xml:space="preserve">Theo Andres</t>
  </si>
  <si>
    <t xml:space="preserve">seguin.theo.et21.25@gmail.com</t>
  </si>
  <si>
    <t xml:space="preserve">theos383@alu.bue.edu.ar</t>
  </si>
  <si>
    <t xml:space="preserve">VICENTE LOPEZ</t>
  </si>
  <si>
    <t xml:space="preserve">Maquinista Carregal 2360</t>
  </si>
  <si>
    <t xml:space="preserve">Catalina </t>
  </si>
  <si>
    <t xml:space="preserve">Visceglio</t>
  </si>
  <si>
    <t xml:space="preserve">catalinavisceglio@gmail.com</t>
  </si>
  <si>
    <t xml:space="preserve">1167223703 (Padre)Gaston Seguin</t>
  </si>
  <si>
    <t xml:space="preserve">https://docs.google.com/spreadsheets/d/1kp1I3MKGFQsJU1sdM_gqbq6fFtfPyXdy6IkmV6ZcRHk/edit?usp=drivesdk</t>
  </si>
  <si>
    <t xml:space="preserve">Sierra</t>
  </si>
  <si>
    <t xml:space="preserve">Ambar</t>
  </si>
  <si>
    <t xml:space="preserve">sierra.ambar.et21.25@gmail.com</t>
  </si>
  <si>
    <t xml:space="preserve">Lucas </t>
  </si>
  <si>
    <t xml:space="preserve">lucassierra081286@gmail.com</t>
  </si>
  <si>
    <t xml:space="preserve">https://docs.google.com/spreadsheets/d/12tpLqxiCDVWr98mq6UhZn34g0LLEv3cL-RhCRItEVWY/edit?usp=drivesdk</t>
  </si>
  <si>
    <t xml:space="preserve">Silva Milocanovich</t>
  </si>
  <si>
    <t xml:space="preserve">Matias</t>
  </si>
  <si>
    <t xml:space="preserve">Silva.matias.et21.26@gmail.com</t>
  </si>
  <si>
    <t xml:space="preserve">Nuñez 3334</t>
  </si>
  <si>
    <t xml:space="preserve">Milocanovich</t>
  </si>
  <si>
    <t xml:space="preserve">miloartesanias@gmail.com</t>
  </si>
  <si>
    <t xml:space="preserve">Tiene que realizarse un fondo de ojos para evaluar si requiere lentes</t>
  </si>
  <si>
    <t xml:space="preserve">https://docs.google.com/spreadsheets/d/19oNmoCgUfYvmQmbcjM_-ohWK58Ya1fURUSL17tASUPY/edit?usp=drivesdk</t>
  </si>
  <si>
    <t xml:space="preserve">Melina Tatiana</t>
  </si>
  <si>
    <t xml:space="preserve">22/05/2010</t>
  </si>
  <si>
    <t xml:space="preserve">silva.melina.et21.23@gmail.com</t>
  </si>
  <si>
    <t xml:space="preserve">CABA, provincia de Buenos Aires </t>
  </si>
  <si>
    <t xml:space="preserve">CABA, Saavedra </t>
  </si>
  <si>
    <t xml:space="preserve">Adriana Mariel </t>
  </si>
  <si>
    <t xml:space="preserve">Milocanovich </t>
  </si>
  <si>
    <t xml:space="preserve">silva</t>
  </si>
  <si>
    <t xml:space="preserve">Silvamilocanovich@gmail.com</t>
  </si>
  <si>
    <t xml:space="preserve">https://docs.google.com/spreadsheets/d/1SMw8IoGXwduJfMt9qUybBaXFNY3NjsUqUvIaWR2p6bc/edit?usp=drivesdk</t>
  </si>
  <si>
    <t xml:space="preserve">Simsay Santa María</t>
  </si>
  <si>
    <t xml:space="preserve">Niels Gael</t>
  </si>
  <si>
    <t xml:space="preserve">Peru</t>
  </si>
  <si>
    <t xml:space="preserve">santamaria.gael.et21.26@gmail.com</t>
  </si>
  <si>
    <t xml:space="preserve">Elizabeth</t>
  </si>
  <si>
    <t xml:space="preserve">Santa Maria</t>
  </si>
  <si>
    <t xml:space="preserve">elizabethsantamaria130@gmail.com</t>
  </si>
  <si>
    <t xml:space="preserve">https://docs.google.com/spreadsheets/d/1sCwxUQtGvZv2Xm7GALM1f0w3_rE7RlHSZZhIWox_gQs/edit?usp=drivesdk</t>
  </si>
  <si>
    <t xml:space="preserve">Smogur Carvallo</t>
  </si>
  <si>
    <t xml:space="preserve">Catalina Maia</t>
  </si>
  <si>
    <t xml:space="preserve">smogur.catalina.et21.26@gmail.com</t>
  </si>
  <si>
    <t xml:space="preserve">Malvinas Argentinas</t>
  </si>
  <si>
    <t xml:space="preserve">Noemí</t>
  </si>
  <si>
    <t xml:space="preserve">Carvallo González (Madre)</t>
  </si>
  <si>
    <t xml:space="preserve">noemicarvallo@gmail.com</t>
  </si>
  <si>
    <t xml:space="preserve">https://docs.google.com/spreadsheets/d/1Ytp31iExI2L5vxN98XyvMPr2bKXne2DkGKzfDqcMBOA/edit?usp=drivesdk</t>
  </si>
  <si>
    <t xml:space="preserve">Soares</t>
  </si>
  <si>
    <t xml:space="preserve"> Diogo Martin</t>
  </si>
  <si>
    <t xml:space="preserve">soares.diogo.et21.25@gmail.com</t>
  </si>
  <si>
    <t xml:space="preserve">Vte Lopez</t>
  </si>
  <si>
    <t xml:space="preserve">https://docs.google.com/spreadsheets/d/1JM2At41nvRQg5Snp2rj49CewpqWIf7BUyQjirjQFI0g/edit?usp=drivesdk</t>
  </si>
  <si>
    <t xml:space="preserve">Soria</t>
  </si>
  <si>
    <t xml:space="preserve">Elian</t>
  </si>
  <si>
    <t xml:space="preserve">25/12/2010</t>
  </si>
  <si>
    <t xml:space="preserve">Soria.elian.et21.24@gmail.com</t>
  </si>
  <si>
    <t xml:space="preserve">elianivansoria7@gmail.com</t>
  </si>
  <si>
    <t xml:space="preserve">Comuna 13.</t>
  </si>
  <si>
    <t xml:space="preserve">Av.Dr.Ricardo Balbín 2547</t>
  </si>
  <si>
    <t xml:space="preserve">C1428DGG</t>
  </si>
  <si>
    <t xml:space="preserve">Melody Elizabeth</t>
  </si>
  <si>
    <t xml:space="preserve">Couto</t>
  </si>
  <si>
    <t xml:space="preserve">Elizabethmelodycouto@gmail.com</t>
  </si>
  <si>
    <t xml:space="preserve">https://docs.google.com/spreadsheets/d/1Q-3tNbSAyMilgtQE-i6btoQb4i80WhwS6vcu7dysLzU/edit?usp=drivesdk</t>
  </si>
  <si>
    <t xml:space="preserve">Soria Couto</t>
  </si>
  <si>
    <t xml:space="preserve">Benjamin Ezequiel</t>
  </si>
  <si>
    <t xml:space="preserve">soria.benjamin.et21.25@gmail.com</t>
  </si>
  <si>
    <t xml:space="preserve">benjamins726@alu.bue.edu.ar</t>
  </si>
  <si>
    <t xml:space="preserve">Av. Balbin 2545 </t>
  </si>
  <si>
    <t xml:space="preserve">Sabrina</t>
  </si>
  <si>
    <t xml:space="preserve">Escalante</t>
  </si>
  <si>
    <t xml:space="preserve">https://docs.google.com/spreadsheets/d/1eTbfwpbZpD_PbRIBCUH-MrGJMP705y7pQNgFt7W8zsU/edit?usp=drivesdk</t>
  </si>
  <si>
    <t xml:space="preserve">Soruco</t>
  </si>
  <si>
    <t xml:space="preserve">Lautaro Nahuel</t>
  </si>
  <si>
    <t xml:space="preserve">25/09/2012</t>
  </si>
  <si>
    <t xml:space="preserve">soruco.lautaro.et21.26@gmail.com</t>
  </si>
  <si>
    <t xml:space="preserve">Mariana Ayelen</t>
  </si>
  <si>
    <t xml:space="preserve">Giacone</t>
  </si>
  <si>
    <t xml:space="preserve">marianagiacone3@gmail.com</t>
  </si>
  <si>
    <t xml:space="preserve">https://docs.google.com/spreadsheets/d/1R2ucccMXSsOiBnd3d9PWoWqzRJMibxbhAYS-dbhmq1c/edit?usp=drivesdk</t>
  </si>
  <si>
    <t xml:space="preserve">Sosa</t>
  </si>
  <si>
    <t xml:space="preserve">15/04/11</t>
  </si>
  <si>
    <t xml:space="preserve">sosa.juan.et21.24@gmail.com</t>
  </si>
  <si>
    <t xml:space="preserve">juans104@alu.bue.edu.ar</t>
  </si>
  <si>
    <t xml:space="preserve">Lavalle 2572</t>
  </si>
  <si>
    <t xml:space="preserve">Aileen </t>
  </si>
  <si>
    <t xml:space="preserve">Rosso</t>
  </si>
  <si>
    <t xml:space="preserve">11 53433457</t>
  </si>
  <si>
    <t xml:space="preserve">rossoaileen@gmai.com</t>
  </si>
  <si>
    <t xml:space="preserve">https://docs.google.com/spreadsheets/d/1bD2HH7qidgPaBoHVCOTXETmO2oj96q7ixd_Rwm1CMyI/edit?usp=drivesdk</t>
  </si>
  <si>
    <t xml:space="preserve">Sosa Cañellas</t>
  </si>
  <si>
    <t xml:space="preserve">Claudio Antonio</t>
  </si>
  <si>
    <t xml:space="preserve">claudio.sosa.et21.21@gmail.com</t>
  </si>
  <si>
    <t xml:space="preserve">CGP13</t>
  </si>
  <si>
    <t xml:space="preserve">Amenabar 3220</t>
  </si>
  <si>
    <t xml:space="preserve">Alejandra María de Lourdes</t>
  </si>
  <si>
    <t xml:space="preserve">Cañellas</t>
  </si>
  <si>
    <t xml:space="preserve">alejandracanellas1732@gmail.com</t>
  </si>
  <si>
    <t xml:space="preserve">Alarcón. Gonzalo</t>
  </si>
  <si>
    <t xml:space="preserve">https://docs.google.com/spreadsheets/d/1B3ojzK1HzAUGiWieb6_3JrFU-wdQXJQ-3DUSMM6vKA0/edit?usp=drivesdk</t>
  </si>
  <si>
    <t xml:space="preserve">Stortini</t>
  </si>
  <si>
    <t xml:space="preserve">21/05/2012</t>
  </si>
  <si>
    <t xml:space="preserve">martin.stortini.et21.26@gmail.com</t>
  </si>
  <si>
    <t xml:space="preserve">https://docs.google.com/spreadsheets/d/1RO9GFLLBzNm1nJ4SuKe4wNGShvkTskxs0IDeNJqWMjk/edit?usp=drivesdk</t>
  </si>
  <si>
    <t xml:space="preserve">Suarez</t>
  </si>
  <si>
    <t xml:space="preserve">Ezequiel Nicolas</t>
  </si>
  <si>
    <t xml:space="preserve">20/12/2010</t>
  </si>
  <si>
    <t xml:space="preserve">suarez.ezequiel.et21.24@gmail.com</t>
  </si>
  <si>
    <t xml:space="preserve">Av.San Isidro Labrador 4329</t>
  </si>
  <si>
    <t xml:space="preserve">Liliana Alejandra</t>
  </si>
  <si>
    <t xml:space="preserve">liliana_bluesky@gmail.com</t>
  </si>
  <si>
    <t xml:space="preserve">https://docs.google.com/spreadsheets/d/1OPh7J_dhsihQI0ocNN26ezaEf5h6DItJ45ohV1Oj3v8/edit?usp=drivesdk</t>
  </si>
  <si>
    <t xml:space="preserve">Rafael</t>
  </si>
  <si>
    <t xml:space="preserve">29/05/2013</t>
  </si>
  <si>
    <t xml:space="preserve">SUAREZ.RAFAEL.ET21.26@GMAIL.COM</t>
  </si>
  <si>
    <t xml:space="preserve">VILLA URQUIZA</t>
  </si>
  <si>
    <t xml:space="preserve">PLAZA 2544 PISO 7 DEPTO B</t>
  </si>
  <si>
    <t xml:space="preserve">RODRIGO ENRIQUE</t>
  </si>
  <si>
    <t xml:space="preserve">SUAREZ</t>
  </si>
  <si>
    <t xml:space="preserve">RODRIGOESUAREZ@GMAIL.COM</t>
  </si>
  <si>
    <t xml:space="preserve">1159933918 (Abuela)</t>
  </si>
  <si>
    <t xml:space="preserve">https://docs.google.com/spreadsheets/d/1JnKhot_e5fORT8W6DwjaI4TkcUUoy1bMazHPQyqFpVs/edit?usp=drivesdk</t>
  </si>
  <si>
    <t xml:space="preserve">Tapia</t>
  </si>
  <si>
    <t xml:space="preserve">Ulises</t>
  </si>
  <si>
    <t xml:space="preserve">tapia.ulises.et21.26@gmail.com</t>
  </si>
  <si>
    <t xml:space="preserve">San isidro</t>
  </si>
  <si>
    <t xml:space="preserve">Melina</t>
  </si>
  <si>
    <t xml:space="preserve">Rodriguez Giles</t>
  </si>
  <si>
    <t xml:space="preserve">eggelv@gmail.com</t>
  </si>
  <si>
    <t xml:space="preserve">https://docs.google.com/spreadsheets/d/1wS37Jr3q2ayUe-GZlqubk7sSHfkGbtHv28LACmlQaF0/edit?usp=drivesdk</t>
  </si>
  <si>
    <t xml:space="preserve">https://drive.google.com/drive/folders/1jFOdp-kX6VAoZHXWpN_WNDGv8nYy3GAT</t>
  </si>
  <si>
    <t xml:space="preserve">Tatone</t>
  </si>
  <si>
    <t xml:space="preserve">Ramiro</t>
  </si>
  <si>
    <t xml:space="preserve">28/10/2008</t>
  </si>
  <si>
    <t xml:space="preserve">ramiro.tatone.et21.22@gmail.com</t>
  </si>
  <si>
    <t xml:space="preserve">ramirot285@alu.bue.edu.ar</t>
  </si>
  <si>
    <t xml:space="preserve">Donado 3638</t>
  </si>
  <si>
    <t xml:space="preserve">Rapagnani</t>
  </si>
  <si>
    <t xml:space="preserve">angelesrap@hotmail.com</t>
  </si>
  <si>
    <t xml:space="preserve">tycnet@hotmail.com</t>
  </si>
  <si>
    <t xml:space="preserve">https://docs.google.com/spreadsheets/d/17l1uWNG4Zpxowf4fpXMy2MVX4v02tDW0JVayeSFKjp0/edit?usp=drivesdk</t>
  </si>
  <si>
    <t xml:space="preserve">Taverna</t>
  </si>
  <si>
    <t xml:space="preserve">Vladimir</t>
  </si>
  <si>
    <t xml:space="preserve">taverna.vladimir.et21.25@gmail.com</t>
  </si>
  <si>
    <t xml:space="preserve">Marcelo</t>
  </si>
  <si>
    <t xml:space="preserve">Taverna </t>
  </si>
  <si>
    <t xml:space="preserve">chelo_mrt@hotmail.com</t>
  </si>
  <si>
    <t xml:space="preserve">Corroborar con alumno </t>
  </si>
  <si>
    <t xml:space="preserve">https://docs.google.com/spreadsheets/d/13ky_7ZJIlx1EJdwdCSzwtNGlSbaGt2_1MjEVJOliMmo/edit?usp=drivesdk</t>
  </si>
  <si>
    <t xml:space="preserve">Todisco</t>
  </si>
  <si>
    <t xml:space="preserve">Leon Ariel</t>
  </si>
  <si>
    <t xml:space="preserve">todisco.leon.et21.25@gmail.com</t>
  </si>
  <si>
    <t xml:space="preserve">leont237@alu.bue.edu.ar</t>
  </si>
  <si>
    <t xml:space="preserve">SAN ISIDRO</t>
  </si>
  <si>
    <t xml:space="preserve">Olivos</t>
  </si>
  <si>
    <t xml:space="preserve">Fray justo sarmiento 3525</t>
  </si>
  <si>
    <t xml:space="preserve">Karina  </t>
  </si>
  <si>
    <t xml:space="preserve">Cruder</t>
  </si>
  <si>
    <t xml:space="preserve">karinagcruder@yahoo.com.ar</t>
  </si>
  <si>
    <t xml:space="preserve">Pablo Damian </t>
  </si>
  <si>
    <t xml:space="preserve">damiantodisco@hotmail.com </t>
  </si>
  <si>
    <t xml:space="preserve">FRANCO PAULA</t>
  </si>
  <si>
    <t xml:space="preserve">https://docs.google.com/spreadsheets/d/1FND6Z5P66s5zkAr4aSa6O9pXqLvGOvQgCR8EMjbG5xU/edit?usp=drivesdk</t>
  </si>
  <si>
    <t xml:space="preserve">Tolosa Carbone</t>
  </si>
  <si>
    <t xml:space="preserve">Eva Mia</t>
  </si>
  <si>
    <t xml:space="preserve">29/11/2012</t>
  </si>
  <si>
    <t xml:space="preserve">tolosa.eva.et21.26@gmail.com</t>
  </si>
  <si>
    <t xml:space="preserve">Juramento 3938 dpto 9</t>
  </si>
  <si>
    <t xml:space="preserve">María Guadalupe</t>
  </si>
  <si>
    <t xml:space="preserve">Carbone</t>
  </si>
  <si>
    <t xml:space="preserve">evamiatolosa@gmail.com</t>
  </si>
  <si>
    <t xml:space="preserve">Andrés </t>
  </si>
  <si>
    <t xml:space="preserve">Tolosa</t>
  </si>
  <si>
    <t xml:space="preserve">https://docs.google.com/spreadsheets/d/1wrHxP58R9PoJxL-nXErcZkhXPpXcX_Y2e3p2qZ5ef60/edit?usp=drivesdk</t>
  </si>
  <si>
    <t xml:space="preserve">Toriglia</t>
  </si>
  <si>
    <t xml:space="preserve">torigliabastos.lucas.et21.24@gmail.com</t>
  </si>
  <si>
    <t xml:space="preserve">holmberg 41-50</t>
  </si>
  <si>
    <t xml:space="preserve">anibal</t>
  </si>
  <si>
    <t xml:space="preserve">toriglia</t>
  </si>
  <si>
    <t xml:space="preserve">https://docs.google.com/spreadsheets/d/1Em7p9A2OKuyJG2TbYQMa7zugF-8qCvBI7ksOX0-AFzM/edit?usp=drivesdk</t>
  </si>
  <si>
    <t xml:space="preserve">torres.franco.et21.25@gmail.com</t>
  </si>
  <si>
    <t xml:space="preserve">https://docs.google.com/spreadsheets/d/1ccJ9xfAWFyd4fr-16IjNfGDlw56-UUYI1H02F0i9kME/edit?usp=drivesdk</t>
  </si>
  <si>
    <t xml:space="preserve">torrespanno.nicolas.et21.26@gmail.com</t>
  </si>
  <si>
    <t xml:space="preserve">Avenida Cramer 1901</t>
  </si>
  <si>
    <t xml:space="preserve">martintorres.ar@gmail.com</t>
  </si>
  <si>
    <t xml:space="preserve">Garcia Guido, Andrea</t>
  </si>
  <si>
    <t xml:space="preserve">https://docs.google.com/spreadsheets/d/1ANyGtb7EZw4reFo9lV905bwWAD7KM8jkU2NHkUJ7btI/edit?usp=drivesdk</t>
  </si>
  <si>
    <t xml:space="preserve">Matias Tomas</t>
  </si>
  <si>
    <t xml:space="preserve">torres.matias.et21.26@gmail.com</t>
  </si>
  <si>
    <t xml:space="preserve">https://docs.google.com/spreadsheets/d/1XSXeHakdAViTuaFzUjPDYC9ejkX17hLy5yoz03bm_kA/edit?usp=drivesdk</t>
  </si>
  <si>
    <t xml:space="preserve">Torrilla Dominguez</t>
  </si>
  <si>
    <t xml:space="preserve">23/11/2008</t>
  </si>
  <si>
    <t xml:space="preserve">torrilla.guadalupe.et21.22@gmail.com</t>
  </si>
  <si>
    <t xml:space="preserve">torrilladominguezguadalupe@gmail.com</t>
  </si>
  <si>
    <t xml:space="preserve">Coghlan </t>
  </si>
  <si>
    <t xml:space="preserve">Conesa 2670 </t>
  </si>
  <si>
    <t xml:space="preserve">Eduardo Enrique </t>
  </si>
  <si>
    <t xml:space="preserve">Torrilla</t>
  </si>
  <si>
    <t xml:space="preserve">edut2670@gmail.com</t>
  </si>
  <si>
    <t xml:space="preserve">Adela </t>
  </si>
  <si>
    <t xml:space="preserve">Dominguez Cabrera</t>
  </si>
  <si>
    <t xml:space="preserve">Miopía
Asma bronquial </t>
  </si>
  <si>
    <t xml:space="preserve">https://docs.google.com/spreadsheets/d/1XJa-B3PvNZMJbtRma0-Y7NYz4T9s7EfsVAPZbHIey0w/edit?usp=drivesdk</t>
  </si>
  <si>
    <t xml:space="preserve">Torroja Leonzio</t>
  </si>
  <si>
    <t xml:space="preserve">Lauro</t>
  </si>
  <si>
    <t xml:space="preserve">29/3/2010</t>
  </si>
  <si>
    <t xml:space="preserve">lauro.torroja.et21.23@gmail.com</t>
  </si>
  <si>
    <t xml:space="preserve">Manzanares 3870</t>
  </si>
  <si>
    <t xml:space="preserve">Pio</t>
  </si>
  <si>
    <t xml:space="preserve">Torroja</t>
  </si>
  <si>
    <t xml:space="preserve">Piotorroja@gmail.com</t>
  </si>
  <si>
    <t xml:space="preserve">https://docs.google.com/spreadsheets/d/1uihNIp9ryCP4DpCp-wR2HcsASiCn3vN3HlSJF-lgXIY/edit?usp=drivesdk</t>
  </si>
  <si>
    <t xml:space="preserve">Troche</t>
  </si>
  <si>
    <t xml:space="preserve">28/02/2009</t>
  </si>
  <si>
    <t xml:space="preserve">Troche.camila.et21.22@gmail.com</t>
  </si>
  <si>
    <t xml:space="preserve">Camilatroche06@gmail.com</t>
  </si>
  <si>
    <t xml:space="preserve">Arias 3751</t>
  </si>
  <si>
    <t xml:space="preserve">Vanesa </t>
  </si>
  <si>
    <t xml:space="preserve">Lopez</t>
  </si>
  <si>
    <t xml:space="preserve">Vanesa1206@yahoo.com</t>
  </si>
  <si>
    <t xml:space="preserve">https://docs.google.com/spreadsheets/d/1_3UFV1dJ7PsMJtrVAXX1geZrGT4AHY5htES_aV_KSwE/edit?usp=drivesdk</t>
  </si>
  <si>
    <t xml:space="preserve">Trujillo</t>
  </si>
  <si>
    <t xml:space="preserve">Darian</t>
  </si>
  <si>
    <t xml:space="preserve">Trujillo.Darian.et21.25@gmail.com</t>
  </si>
  <si>
    <t xml:space="preserve">dariant750@alu.bue.edu.ar</t>
  </si>
  <si>
    <t xml:space="preserve">Pico 2144</t>
  </si>
  <si>
    <t xml:space="preserve">https://docs.google.com/spreadsheets/d/1b6EJAEjYzBO1QBt6NF8iJjFewqwy4wHI-qQyPUaZcQs/edit?usp=drivesdk</t>
  </si>
  <si>
    <t xml:space="preserve">Trujillo Soto</t>
  </si>
  <si>
    <t xml:space="preserve">Facundo Axel</t>
  </si>
  <si>
    <t xml:space="preserve">24/01/2012</t>
  </si>
  <si>
    <t xml:space="preserve">trujillo.facundo.et21.25@gmail.com</t>
  </si>
  <si>
    <t xml:space="preserve">facundot9488@alu.bue.edu.ar</t>
  </si>
  <si>
    <t xml:space="preserve">3 DE FEBRERO</t>
  </si>
  <si>
    <t xml:space="preserve">Gabriel Linares 4967</t>
  </si>
  <si>
    <t xml:space="preserve">Susan</t>
  </si>
  <si>
    <t xml:space="preserve">Soto</t>
  </si>
  <si>
    <t xml:space="preserve">susan180220@gmail.com</t>
  </si>
  <si>
    <t xml:space="preserve">https://docs.google.com/spreadsheets/d/1uLo0kt8D-FNGQrcXDy-VWudsfvcVP13hHLQKTfbz-GE/edit?usp=drivesdk</t>
  </si>
  <si>
    <t xml:space="preserve">Umpierres de Vitta</t>
  </si>
  <si>
    <t xml:space="preserve">Maria Belén</t>
  </si>
  <si>
    <t xml:space="preserve">umpierrez.belen.et21.24@gmail.com</t>
  </si>
  <si>
    <t xml:space="preserve">Nuñez 1783</t>
  </si>
  <si>
    <t xml:space="preserve">Martin Adrian</t>
  </si>
  <si>
    <t xml:space="preserve">UMPIERREZ</t>
  </si>
  <si>
    <t xml:space="preserve">11 3258 0661</t>
  </si>
  <si>
    <t xml:space="preserve">Martinumpierrez1@gmail.com</t>
  </si>
  <si>
    <t xml:space="preserve">https://docs.google.com/spreadsheets/d/1nhJ4v67vvNSgs_0gT1pkIPP0T3yGFG8wp6-K1ybk_ys/edit?usp=drivesdk</t>
  </si>
  <si>
    <t xml:space="preserve">https://drive.google.com/drive/folders/1mBgXM_yc26TPMh14td5pbN54-jdzAX5v</t>
  </si>
  <si>
    <t xml:space="preserve">Valenzuela Paredes</t>
  </si>
  <si>
    <t xml:space="preserve">Xiomara</t>
  </si>
  <si>
    <t xml:space="preserve">52.401.676</t>
  </si>
  <si>
    <t xml:space="preserve">valenzuela.xiomara.et21.26@gmail.com</t>
  </si>
  <si>
    <t xml:space="preserve">Bs As </t>
  </si>
  <si>
    <t xml:space="preserve">FLORENCIO VARELA</t>
  </si>
  <si>
    <t xml:space="preserve">https://docs.google.com/spreadsheets/d/1SfPBHqRFVscni2DDaXTIVfuDtcnxS2V2hp0_tWgPCMI/edit?usp=drivesdk</t>
  </si>
  <si>
    <t xml:space="preserve">https://drive.google.com/drive/folders/1lHoiz6Tu3hWQw8aPm0mn4HKuiiCV-bWl</t>
  </si>
  <si>
    <t xml:space="preserve">Vallejos</t>
  </si>
  <si>
    <t xml:space="preserve">Bautista</t>
  </si>
  <si>
    <t xml:space="preserve">13/08/2007</t>
  </si>
  <si>
    <t xml:space="preserve">VALLEJOS.BAUTISTA.ET21.24@GMAIL.COM</t>
  </si>
  <si>
    <t xml:space="preserve">VALLEJOSBAUTISTA075@ALU.BUE.EDU.AR</t>
  </si>
  <si>
    <t xml:space="preserve">AV BALBIN 3780</t>
  </si>
  <si>
    <t xml:space="preserve">AYELEN</t>
  </si>
  <si>
    <t xml:space="preserve">ROSALES</t>
  </si>
  <si>
    <t xml:space="preserve">AYEROSALES87@GMAIL.COM</t>
  </si>
  <si>
    <t xml:space="preserve">DALTÓNICO</t>
  </si>
  <si>
    <t xml:space="preserve">Barrionuevo, Pablo</t>
  </si>
  <si>
    <t xml:space="preserve">https://docs.google.com/spreadsheets/d/13y38-LactJMmrM2-PSWIIpLVJUnK-w9HVuAIZQKCrE8/edit?usp=drivesdk</t>
  </si>
  <si>
    <t xml:space="preserve">Vanecek</t>
  </si>
  <si>
    <t xml:space="preserve">17/05/08</t>
  </si>
  <si>
    <t xml:space="preserve">vanecek.ignacio.et21.22@gmail.com</t>
  </si>
  <si>
    <t xml:space="preserve">ignaciov423@gmail.com</t>
  </si>
  <si>
    <t xml:space="preserve">vicente lópez </t>
  </si>
  <si>
    <t xml:space="preserve">carlos gardel 2327</t>
  </si>
  <si>
    <t xml:space="preserve">guillermo </t>
  </si>
  <si>
    <t xml:space="preserve">guillermovanecek@gmail.com</t>
  </si>
  <si>
    <t xml:space="preserve">Sosa Ortega, Elma</t>
  </si>
  <si>
    <t xml:space="preserve">https://docs.google.com/spreadsheets/d/1BMuIKm13mbtLfnsLXDiAHUiQ0H25MFCFk0Rnrq7TzJE/edit?usp=drivesdk</t>
  </si>
  <si>
    <t xml:space="preserve">Varela</t>
  </si>
  <si>
    <t xml:space="preserve">Alma</t>
  </si>
  <si>
    <t xml:space="preserve">14/10/2009</t>
  </si>
  <si>
    <t xml:space="preserve">Varela.alma.et21.23@gmail.com</t>
  </si>
  <si>
    <t xml:space="preserve">Arcos 3161 </t>
  </si>
  <si>
    <t xml:space="preserve">Silvina</t>
  </si>
  <si>
    <t xml:space="preserve">Amaduro</t>
  </si>
  <si>
    <t xml:space="preserve">11 5417-4116</t>
  </si>
  <si>
    <t xml:space="preserve">silvinanamaduro@gmail.com</t>
  </si>
  <si>
    <t xml:space="preserve">Miopía y atismatismo, soplo en el corazón y alergias </t>
  </si>
  <si>
    <t xml:space="preserve">https://docs.google.com/spreadsheets/d/1PTThEhyiMBZUM_xZvGcYnIouI_ogwpZgs6wKmIyDRJE/edit?usp=drivesdk</t>
  </si>
  <si>
    <t xml:space="preserve">Vasques</t>
  </si>
  <si>
    <t xml:space="preserve">Angel</t>
  </si>
  <si>
    <t xml:space="preserve">vasquez.santino.et21.25@gmail.com</t>
  </si>
  <si>
    <t xml:space="preserve">Roxana</t>
  </si>
  <si>
    <t xml:space="preserve">Vásquez </t>
  </si>
  <si>
    <t xml:space="preserve">roxyvasquez1002@gmail.com</t>
  </si>
  <si>
    <t xml:space="preserve">Tía Adela</t>
  </si>
  <si>
    <t xml:space="preserve">Materias pendientes Geografía -Matemática-Tecnología </t>
  </si>
  <si>
    <t xml:space="preserve">https://docs.google.com/spreadsheets/d/1faaGVEb0DnweCF968UjxNvzY6B8k9JAGPBSIfzBaAeU/edit?usp=drivesdk</t>
  </si>
  <si>
    <t xml:space="preserve">Vazquez Alvarez</t>
  </si>
  <si>
    <t xml:space="preserve">Lorenzo Augusto</t>
  </si>
  <si>
    <t xml:space="preserve">17/12/2010</t>
  </si>
  <si>
    <t xml:space="preserve">vazquezalvarez.lorenzo.et21.24@gmail.com</t>
  </si>
  <si>
    <t xml:space="preserve">lorenzov746@alu.bue.edu.ar</t>
  </si>
  <si>
    <t xml:space="preserve">Manuel Ugarte</t>
  </si>
  <si>
    <t xml:space="preserve">Adriana Noemi</t>
  </si>
  <si>
    <t xml:space="preserve">Alvarez Toridoni</t>
  </si>
  <si>
    <t xml:space="preserve">burbuja_a@hotmail.com</t>
  </si>
  <si>
    <t xml:space="preserve">Maximiliano Daniel</t>
  </si>
  <si>
    <t xml:space="preserve">Vazquez</t>
  </si>
  <si>
    <t xml:space="preserve">maxivazquez@outlook.com.ar</t>
  </si>
  <si>
    <t xml:space="preserve">https://docs.google.com/spreadsheets/d/18gXpstAiq-3clD9Ppo3zwJCrJ8SOhiZ2UZIt37wdt60/edit?usp=drivesdk</t>
  </si>
  <si>
    <t xml:space="preserve">Velasquez Casco</t>
  </si>
  <si>
    <t xml:space="preserve">Byron Martin</t>
  </si>
  <si>
    <t xml:space="preserve">29/11/10</t>
  </si>
  <si>
    <t xml:space="preserve">velasquez.martin.et21.24@gmail.com</t>
  </si>
  <si>
    <t xml:space="preserve">byronv288@alu.bue.edu.ar</t>
  </si>
  <si>
    <t xml:space="preserve">Estomba 2976</t>
  </si>
  <si>
    <t xml:space="preserve">Graciela </t>
  </si>
  <si>
    <t xml:space="preserve">Casco</t>
  </si>
  <si>
    <t xml:space="preserve">gracielacasco30@gmail.com</t>
  </si>
  <si>
    <t xml:space="preserve">Roberto Juan</t>
  </si>
  <si>
    <t xml:space="preserve">Velasquez</t>
  </si>
  <si>
    <t xml:space="preserve">robertovelasquez2023@gmail.com</t>
  </si>
  <si>
    <t xml:space="preserve">https://docs.google.com/spreadsheets/d/1EeJLQe53RCle_2e74YlC29JGTTWdO7oiAa_Oa4aJt3I/edit?usp=drivesdk</t>
  </si>
  <si>
    <t xml:space="preserve">Vera</t>
  </si>
  <si>
    <t xml:space="preserve">Maylen Andrea</t>
  </si>
  <si>
    <t xml:space="preserve">vera.maylen.et21.26@gmail.com</t>
  </si>
  <si>
    <t xml:space="preserve">Patricia Elizabet</t>
  </si>
  <si>
    <t xml:space="preserve">Barua (Madre)</t>
  </si>
  <si>
    <t xml:space="preserve">hvera0312@gmail.com</t>
  </si>
  <si>
    <t xml:space="preserve">https://docs.google.com/spreadsheets/d/1sZcc7QkGGWuw_6vqasVyDpYiIvuy-FJS-t1FcbNic5s/edit?usp=drivesdk</t>
  </si>
  <si>
    <t xml:space="preserve">Vidal</t>
  </si>
  <si>
    <t xml:space="preserve">Juan Cruz</t>
  </si>
  <si>
    <t xml:space="preserve">25/02/2011</t>
  </si>
  <si>
    <t xml:space="preserve">vidal.juancruz.et21.24@gmail.com</t>
  </si>
  <si>
    <t xml:space="preserve">Estomba 2124 </t>
  </si>
  <si>
    <t xml:space="preserve">maria laura</t>
  </si>
  <si>
    <t xml:space="preserve">labayen</t>
  </si>
  <si>
    <t xml:space="preserve">mllabayen@gmail.com</t>
  </si>
  <si>
    <t xml:space="preserve">https://docs.google.com/spreadsheets/d/1x4djfln55ZtL3gaji7Cg43ocn1UM6LjxM8Ce3CtgRzU/edit?usp=drivesdk</t>
  </si>
  <si>
    <t xml:space="preserve">Villagran</t>
  </si>
  <si>
    <t xml:space="preserve">Lautaro Benjamin</t>
  </si>
  <si>
    <t xml:space="preserve">villagran.lautaro.et21.26@gmail.com</t>
  </si>
  <si>
    <t xml:space="preserve">Pamela</t>
  </si>
  <si>
    <t xml:space="preserve">Villagram</t>
  </si>
  <si>
    <t xml:space="preserve">azulpamela2025@gmail.com</t>
  </si>
  <si>
    <t xml:space="preserve">https://docs.google.com/spreadsheets/d/1ULXpe4kjqyQqlY64HT32g3QTIhxdRs9ESSg5mXrbDVE/edit?usp=drivesdk</t>
  </si>
  <si>
    <t xml:space="preserve">Villalba</t>
  </si>
  <si>
    <t xml:space="preserve">Alexander jazmin</t>
  </si>
  <si>
    <t xml:space="preserve">14/07/2010</t>
  </si>
  <si>
    <t xml:space="preserve">villalba.alex.et21.26@gmail.com</t>
  </si>
  <si>
    <t xml:space="preserve">jazchuz220@gmail.com</t>
  </si>
  <si>
    <t xml:space="preserve">conesa 3518</t>
  </si>
  <si>
    <t xml:space="preserve">gaby.villalba1995@gmail.com</t>
  </si>
  <si>
    <t xml:space="preserve">https://docs.google.com/spreadsheets/d/1TanKTUfa8XAPvfJN8yN54I2x2xc0s1hLJ1-hl1XaXDs/edit?usp=drivesdk</t>
  </si>
  <si>
    <t xml:space="preserve">Villanueva</t>
  </si>
  <si>
    <t xml:space="preserve">20/10/2010</t>
  </si>
  <si>
    <t xml:space="preserve">villanuevarivero.benjamin.et21.24@gmail.com</t>
  </si>
  <si>
    <t xml:space="preserve">Agustin alvarez 1350</t>
  </si>
  <si>
    <t xml:space="preserve">Yesica</t>
  </si>
  <si>
    <t xml:space="preserve">Rivero</t>
  </si>
  <si>
    <t xml:space="preserve">11 3001-1951</t>
  </si>
  <si>
    <t xml:space="preserve">gibonsito@gmail.com</t>
  </si>
  <si>
    <t xml:space="preserve">Cabana, Gabriela</t>
  </si>
  <si>
    <t xml:space="preserve">https://docs.google.com/spreadsheets/d/1JrPw1Rrg9hIuCfCmOpqep-FsH23Td_upHfuU6pQcJB0/edit?usp=drivesdk</t>
  </si>
  <si>
    <t xml:space="preserve">VILLANUEVA.IGNACIO.ET21.24@GMAIL.COM</t>
  </si>
  <si>
    <t xml:space="preserve">AGUSTIN ALVAREZ 1350</t>
  </si>
  <si>
    <t xml:space="preserve">JESICA</t>
  </si>
  <si>
    <t xml:space="preserve">RIVERO</t>
  </si>
  <si>
    <t xml:space="preserve">JESICABRIBERO82@GMAIL.COM</t>
  </si>
  <si>
    <t xml:space="preserve">https://docs.google.com/spreadsheets/d/19VGKbDbKPw85Ew2uzQra8lxe3IU-vMLFPzZiZYadzvI/edit?usp=drivesdk</t>
  </si>
  <si>
    <t xml:space="preserve">Villar Lipzer</t>
  </si>
  <si>
    <t xml:space="preserve">Iara Jazmin</t>
  </si>
  <si>
    <t xml:space="preserve">lipzer.iara.et21.24@gmail.com</t>
  </si>
  <si>
    <t xml:space="preserve">iarav462@alu.bue.edu.ar</t>
  </si>
  <si>
    <t xml:space="preserve">CGP13, Núñez </t>
  </si>
  <si>
    <t xml:space="preserve">Vidal 3582</t>
  </si>
  <si>
    <t xml:space="preserve">Paula Verónica </t>
  </si>
  <si>
    <t xml:space="preserve">Lipzer</t>
  </si>
  <si>
    <t xml:space="preserve">paulipzer@gmail.com</t>
  </si>
  <si>
    <t xml:space="preserve">https://docs.google.com/spreadsheets/d/1uipBphZgKKWWx5MovVbi5RjlwlrW_AJNu3Tmfm4_kP0/edit?usp=drivesdk</t>
  </si>
  <si>
    <t xml:space="preserve">Wendler</t>
  </si>
  <si>
    <t xml:space="preserve">wendler.valentina.et21.24@gmail.com</t>
  </si>
  <si>
    <t xml:space="preserve">Cullen 4868</t>
  </si>
  <si>
    <t xml:space="preserve">Flavia </t>
  </si>
  <si>
    <t xml:space="preserve">Pirolo</t>
  </si>
  <si>
    <t xml:space="preserve">piroloflavia@gmail.com</t>
  </si>
  <si>
    <t xml:space="preserve">_</t>
  </si>
  <si>
    <t xml:space="preserve">-
</t>
  </si>
  <si>
    <t xml:space="preserve">https://docs.google.com/spreadsheets/d/11yV3ebK1cisa3SKkOaktFr-vEl2aHXPzNlgvrSVXBbQ/edit?usp=drivesdk</t>
  </si>
  <si>
    <t xml:space="preserve">https://drive.google.com/drive/folders/1bpud7tr7RoyTw8hxBGHeW8_tcrFhCzB1</t>
  </si>
  <si>
    <t xml:space="preserve">Yakovoski</t>
  </si>
  <si>
    <t xml:space="preserve">24/04/2011</t>
  </si>
  <si>
    <t xml:space="preserve">yakovoski.agustin.et21.24@gmail.com</t>
  </si>
  <si>
    <t xml:space="preserve">Superi 3583</t>
  </si>
  <si>
    <t xml:space="preserve">Ricardo Alberto </t>
  </si>
  <si>
    <t xml:space="preserve">betoyakovoski@gmail.com</t>
  </si>
  <si>
    <t xml:space="preserve">https://docs.google.com/spreadsheets/d/1ISJ2WlSza-RdT3nPZ3EY3BtnVJu8zBqe36wdkOcgK9s/edit?usp=drivesdk</t>
  </si>
  <si>
    <t xml:space="preserve">https://drive.google.com/drive/folders/1kNCBRERbhx9D9oexlnLApZI7TFVEOs6Q</t>
  </si>
  <si>
    <t xml:space="preserve">Yasas</t>
  </si>
  <si>
    <t xml:space="preserve">Iván Mateo</t>
  </si>
  <si>
    <t xml:space="preserve">25/01/2010</t>
  </si>
  <si>
    <t xml:space="preserve">yasas.ivan.et21.23@gmail.com</t>
  </si>
  <si>
    <t xml:space="preserve">ivanmateoyasas@gmail.com</t>
  </si>
  <si>
    <t xml:space="preserve">CGP12 Saavedra</t>
  </si>
  <si>
    <t xml:space="preserve">Ruiz Huidobro 3437</t>
  </si>
  <si>
    <t xml:space="preserve">María de Lourdes</t>
  </si>
  <si>
    <t xml:space="preserve">Progano</t>
  </si>
  <si>
    <t xml:space="preserve">maria.progano@bue.edu.ar</t>
  </si>
  <si>
    <t xml:space="preserve">Gustavo Ariel </t>
  </si>
  <si>
    <t xml:space="preserve">Yasas </t>
  </si>
  <si>
    <t xml:space="preserve">Asma bronquial, tomo medicación (Puff Neumoterol)</t>
  </si>
  <si>
    <t xml:space="preserve">https://docs.google.com/spreadsheets/d/1Nc-g1dktL7r4nQRqHYxe8DOritxQAYjZvmzSA_2xk-U/edit?usp=drivesdk</t>
  </si>
  <si>
    <t xml:space="preserve">Yavicoli</t>
  </si>
  <si>
    <t xml:space="preserve">Salvador</t>
  </si>
  <si>
    <t xml:space="preserve">Yavicoli.salvador.et21.23@gmail.com</t>
  </si>
  <si>
    <t xml:space="preserve">xxx@alu.edu.ar</t>
  </si>
  <si>
    <t xml:space="preserve">Chorroarin 91</t>
  </si>
  <si>
    <t xml:space="preserve">Griselda</t>
  </si>
  <si>
    <t xml:space="preserve">Giuliano</t>
  </si>
  <si>
    <t xml:space="preserve">Griseldagiuliano@gmail.com</t>
  </si>
  <si>
    <t xml:space="preserve">Corbalán, Ezequiel</t>
  </si>
  <si>
    <t xml:space="preserve">https://docs.google.com/spreadsheets/d/1eBsJUqsqERCGzLm0JwfrDZOgAozi__VXIaC1yNbC7aw/edit?usp=drivesdk</t>
  </si>
  <si>
    <t xml:space="preserve">Yetano</t>
  </si>
  <si>
    <t xml:space="preserve">Pedro</t>
  </si>
  <si>
    <t xml:space="preserve">24/04/2010</t>
  </si>
  <si>
    <t xml:space="preserve">yetano.pedro.et21.23@gmail.com</t>
  </si>
  <si>
    <t xml:space="preserve">yetano@alu.edu.ar</t>
  </si>
  <si>
    <t xml:space="preserve">Conghlan</t>
  </si>
  <si>
    <t xml:space="preserve">Aguero 1192</t>
  </si>
  <si>
    <t xml:space="preserve">Vivanco</t>
  </si>
  <si>
    <t xml:space="preserve">carletabuendia@gmail.com</t>
  </si>
  <si>
    <t xml:space="preserve">https://docs.google.com/spreadsheets/d/1mqGhRWRRIStRxPgl3sUYMnqC36nzcL01B1htyauxBuk/edit?usp=drivesdk</t>
  </si>
  <si>
    <t xml:space="preserve">Zambon</t>
  </si>
  <si>
    <t xml:space="preserve">30/09/2012</t>
  </si>
  <si>
    <t xml:space="preserve">santiago.zambon.et21.26@gmail.com</t>
  </si>
  <si>
    <t xml:space="preserve">FLORIDA OESTE</t>
  </si>
  <si>
    <t xml:space="preserve">JULIAN SEGUNDO AGUERO 1868</t>
  </si>
  <si>
    <t xml:space="preserve">1562110387 (Padre)</t>
  </si>
  <si>
    <t xml:space="preserve">herreriazambon@gmail.com</t>
  </si>
  <si>
    <t xml:space="preserve">Victoria</t>
  </si>
  <si>
    <t xml:space="preserve">Zambón</t>
  </si>
  <si>
    <t xml:space="preserve">https://docs.google.com/spreadsheets/d/1816fenKuHQgX4inQhvE0Hs6we6ACVn7K4KjNPAqVe0E/edit?usp=drivesdk</t>
  </si>
  <si>
    <t xml:space="preserve">https://drive.google.com/drive/folders/1nGJ0k9Zza3vtygiVL6zrOUdtvC795Kt4</t>
  </si>
  <si>
    <t xml:space="preserve">Zarate Mereles</t>
  </si>
  <si>
    <t xml:space="preserve">Noah Andres</t>
  </si>
  <si>
    <t xml:space="preserve">zarate.judith.et21.21@gmail.com</t>
  </si>
  <si>
    <t xml:space="preserve">noahz631@alu.bue.edu.ar</t>
  </si>
  <si>
    <t xml:space="preserve">Guernica</t>
  </si>
  <si>
    <t xml:space="preserve">Presidente Peron</t>
  </si>
  <si>
    <t xml:space="preserve">San lorenzo 1364</t>
  </si>
  <si>
    <t xml:space="preserve">Savino</t>
  </si>
  <si>
    <t xml:space="preserve">Zarate</t>
  </si>
  <si>
    <t xml:space="preserve">savinozarate1954@gmail.com</t>
  </si>
  <si>
    <t xml:space="preserve">https://docs.google.com/spreadsheets/d/1bfFQd6hYZWtC4SWMGb6S9w4FceolFYbGsfHuqf8_Krw/edit?usp=drivesdk</t>
  </si>
  <si>
    <t xml:space="preserve">Zeballos</t>
  </si>
  <si>
    <t xml:space="preserve">Nazareno</t>
  </si>
  <si>
    <t xml:space="preserve">29/03/2010</t>
  </si>
  <si>
    <t xml:space="preserve">zeballos.nazareno.et21.23@gmail.com</t>
  </si>
  <si>
    <t xml:space="preserve">nazareno.zeballos@alu.bue.edu.ar</t>
  </si>
  <si>
    <t xml:space="preserve">Villa Pueyrredón</t>
  </si>
  <si>
    <t xml:space="preserve">Terrada 5782</t>
  </si>
  <si>
    <t xml:space="preserve">C1419</t>
  </si>
  <si>
    <t xml:space="preserve">11 3087 4368</t>
  </si>
  <si>
    <t xml:space="preserve">nicolas.r.zeballos@gmail.com</t>
  </si>
  <si>
    <t xml:space="preserve">https://docs.google.com/spreadsheets/d/1xp2HVyNxe1bObo-UwP06LCy-tOH4k2W0QkvT87Z6ZyM/edit?usp=drivesdk</t>
  </si>
  <si>
    <t xml:space="preserve">Española</t>
  </si>
  <si>
    <t xml:space="preserve">Zeballos.nicolas.et21.23@gmail.com</t>
  </si>
  <si>
    <t xml:space="preserve">Larralde y hoolgren</t>
  </si>
  <si>
    <t xml:space="preserve">Berretta</t>
  </si>
  <si>
    <t xml:space="preserve">Manuniconani@gmail.com</t>
  </si>
  <si>
    <t xml:space="preserve">https://docs.google.com/spreadsheets/d/1axasIfbDDcUSd494aILA6UQNK4qO-c2fNpca1xJadYQ/edit?usp=drivesdk</t>
  </si>
  <si>
    <t xml:space="preserve">Ziegler</t>
  </si>
  <si>
    <t xml:space="preserve">Santiago.ziegler.et21.21@gmail.com</t>
  </si>
  <si>
    <t xml:space="preserve">Santiagoz356@alu.bue.edu.ar</t>
  </si>
  <si>
    <t xml:space="preserve">Cgp13</t>
  </si>
  <si>
    <t xml:space="preserve">Nuñez 2000</t>
  </si>
  <si>
    <t xml:space="preserve">Baxterfragata@gmail.com</t>
  </si>
  <si>
    <t xml:space="preserve">https://docs.google.com/spreadsheets/d/1-oLjAF-Cf0iXb3XlLs-1MlBzL596snn1OJh6-f-np40/edit?usp=drivesdk</t>
  </si>
  <si>
    <t xml:space="preserve">Ferrara</t>
  </si>
  <si>
    <t xml:space="preserve">Keitaro Exequiel</t>
  </si>
  <si>
    <t xml:space="preserve">52.445.565</t>
  </si>
  <si>
    <t xml:space="preserve">ferrera.keitaro.et21.25@gmail.com</t>
  </si>
  <si>
    <t xml:space="preserve">Pcia.Bs.As.</t>
  </si>
  <si>
    <t xml:space="preserve">Ivana</t>
  </si>
  <si>
    <t xml:space="preserve">1141752635 (madre)</t>
  </si>
  <si>
    <t xml:space="preserve">ivanob2425@hotmail.com</t>
  </si>
  <si>
    <t xml:space="preserve">https://docs.google.com/spreadsheets/d/1drvyNORhub0lyHo8riQahLIABK_eljcSMFccl0EFqbI/edit?usp=drivesdk</t>
  </si>
  <si>
    <t xml:space="preserve">https://drive.google.com/drive/folders/1aCPHvXyuuGdIgipWP2RIEyk-TUPJHynz</t>
  </si>
  <si>
    <t xml:space="preserve">Hernández </t>
  </si>
  <si>
    <t xml:space="preserve">Sebastián </t>
  </si>
  <si>
    <t xml:space="preserve">Venezolano </t>
  </si>
  <si>
    <t xml:space="preserve">hernandez.sebastian.et21.24@gmail.com</t>
  </si>
  <si>
    <t xml:space="preserve">Hernández.sebastian.et21.24@gmail.com</t>
  </si>
  <si>
    <t xml:space="preserve">Avenida melian 2837</t>
  </si>
  <si>
    <t xml:space="preserve">Jennifer </t>
  </si>
  <si>
    <t xml:space="preserve">Tenias</t>
  </si>
  <si>
    <t xml:space="preserve">Jenysebascalderon@gmail.com</t>
  </si>
  <si>
    <t xml:space="preserve">Asma</t>
  </si>
  <si>
    <t xml:space="preserve">https://docs.google.com/spreadsheets/d/1kQS76NersyuyGyAWQOuHeHLLmJXSWHjXfEfM2AuGX4M/edit?usp=drivesdk</t>
  </si>
  <si>
    <t xml:space="preserve">https://drive.google.com/drive/folders/1eybgu-dtXO-QRSJloTe3UrdqxthysanV</t>
  </si>
  <si>
    <t xml:space="preserve">PIZZOLI</t>
  </si>
  <si>
    <t xml:space="preserve">SANTINO HUGO</t>
  </si>
  <si>
    <t xml:space="preserve">52.945.144</t>
  </si>
  <si>
    <t xml:space="preserve">21/01/2013</t>
  </si>
  <si>
    <t xml:space="preserve">PIZZOLI.SANTINO.ET21.26@GMAIL.COM</t>
  </si>
  <si>
    <t xml:space="preserve">Misiones</t>
  </si>
  <si>
    <t xml:space="preserve">(Madre)</t>
  </si>
  <si>
    <t xml:space="preserve">mariaesthersilvaolivos@gmail.com</t>
  </si>
  <si>
    <t xml:space="preserve">(Padre)</t>
  </si>
  <si>
    <t xml:space="preserve">https://docs.google.com/spreadsheets/d/1JpWruXqglS5KBJ6VjvaoZowV99HOiCcMPTxcaHDioU0/edit?usp=drivesdk</t>
  </si>
  <si>
    <t xml:space="preserve">Luján </t>
  </si>
  <si>
    <t xml:space="preserve">lujan.santiago.et21.24@gmail.com</t>
  </si>
  <si>
    <t xml:space="preserve">Nuñez 3670</t>
  </si>
  <si>
    <t xml:space="preserve">Carlos</t>
  </si>
  <si>
    <t xml:space="preserve">Lujan</t>
  </si>
  <si>
    <t xml:space="preserve">al081207@hotmail.com</t>
  </si>
  <si>
    <t xml:space="preserve">Augier, Abiel</t>
  </si>
  <si>
    <t xml:space="preserve">https://docs.google.com/spreadsheets/d/1dw4myxzJkUgnD9Vsq8X88CHEAhL_4wMp7eSTRETjdzU/edit?usp=drivesdk</t>
  </si>
  <si>
    <t xml:space="preserve">Lechini Garcia</t>
  </si>
  <si>
    <t xml:space="preserve">Ciro Benjamin</t>
  </si>
  <si>
    <t xml:space="preserve">53.088.479</t>
  </si>
  <si>
    <t xml:space="preserve">lechini.ciro.et21.26@gmail.com</t>
  </si>
  <si>
    <t xml:space="preserve">Nuñez 3638</t>
  </si>
  <si>
    <t xml:space="preserve">Daiana</t>
  </si>
  <si>
    <t xml:space="preserve">Garcia Ferreira</t>
  </si>
  <si>
    <t xml:space="preserve">1155801679 (Madre)</t>
  </si>
  <si>
    <t xml:space="preserve">daiana.garciaferreira@gmail.com</t>
  </si>
  <si>
    <t xml:space="preserve">https://docs.google.com/spreadsheets/d/1X6xc-eppb78kf-81Rfd1ujOJN91jDjs5m0SYKWD0V3w/edit?usp=drivesdk</t>
  </si>
  <si>
    <t xml:space="preserve">Lucia Brisco</t>
  </si>
  <si>
    <t xml:space="preserve">Aaron david</t>
  </si>
  <si>
    <t xml:space="preserve">52.649.281</t>
  </si>
  <si>
    <t xml:space="preserve">aaron.lucia.et21.26@gmail.com</t>
  </si>
  <si>
    <t xml:space="preserve">aaronluciabrisco@gmail.com</t>
  </si>
  <si>
    <t xml:space="preserve">María Laura.</t>
  </si>
  <si>
    <t xml:space="preserve">Brisco</t>
  </si>
  <si>
    <t xml:space="preserve">1544445698 (Madre)</t>
  </si>
  <si>
    <t xml:space="preserve">fernandolucia@gmail.com</t>
  </si>
  <si>
    <t xml:space="preserve">https://docs.google.com/spreadsheets/d/1dsdvsWOAic50oAoptHCCxxpWKjGRjdjN9rGoQ7nA7rc/edit?usp=drivesdk</t>
  </si>
  <si>
    <t xml:space="preserve">Risso</t>
  </si>
  <si>
    <t xml:space="preserve">Owen Ezequiel</t>
  </si>
  <si>
    <t xml:space="preserve">52.595.760</t>
  </si>
  <si>
    <t xml:space="preserve">risso.owen.et21.26@gmail.com</t>
  </si>
  <si>
    <t xml:space="preserve">Paola</t>
  </si>
  <si>
    <t xml:space="preserve">Ozuna</t>
  </si>
  <si>
    <t xml:space="preserve">1131941726 (Madre)</t>
  </si>
  <si>
    <t xml:space="preserve">paolaalejandraozuna@gmail.com</t>
  </si>
  <si>
    <t xml:space="preserve">https://docs.google.com/spreadsheets/d/1acXEvq_xc4-39VBmxQ2x2E2vfXASt11_5qIe6NwNQtc/edit?usp=drivesdk</t>
  </si>
  <si>
    <t xml:space="preserve">SHCHERBAKOVA</t>
  </si>
  <si>
    <t xml:space="preserve">Venera</t>
  </si>
  <si>
    <t xml:space="preserve">Pasap 3623269</t>
  </si>
  <si>
    <t xml:space="preserve">Rusa</t>
  </si>
  <si>
    <t xml:space="preserve">shcherbakova.venera.et21.26@gmail.com</t>
  </si>
  <si>
    <t xml:space="preserve"> Zulflia</t>
  </si>
  <si>
    <t xml:space="preserve">Shcherbakova,</t>
  </si>
  <si>
    <t xml:space="preserve">1150020639 (Madre)</t>
  </si>
  <si>
    <t xml:space="preserve">zulfiaserbakova317@gmail.com</t>
  </si>
  <si>
    <t xml:space="preserve">https://docs.google.com/spreadsheets/d/1lR_hUOK2HrbFDB9HAfX6T-RpF_SLevCOudWJcGrEDQw/edit?usp=drivesdk</t>
  </si>
  <si>
    <t xml:space="preserve">Toledo Villalba</t>
  </si>
  <si>
    <t xml:space="preserve">Dylan Orlando</t>
  </si>
  <si>
    <t xml:space="preserve">53.237.371</t>
  </si>
  <si>
    <t xml:space="preserve">28/05/2013</t>
  </si>
  <si>
    <t xml:space="preserve">toledo.dylan.et21.26@gmail.com</t>
  </si>
  <si>
    <t xml:space="preserve">Perla</t>
  </si>
  <si>
    <t xml:space="preserve">1528814731 (Madre)</t>
  </si>
  <si>
    <t xml:space="preserve">Perlasoledad81@gmail.com</t>
  </si>
  <si>
    <t xml:space="preserve">https://docs.google.com/spreadsheets/d/1oPLxMNuIszOw0Hg3ablRkq5ShynX_o9tOdl9yQgCrIM/edit?usp=drivesdk</t>
  </si>
  <si>
    <t xml:space="preserve">Vizcarra</t>
  </si>
  <si>
    <t xml:space="preserve">Bastian Lionel</t>
  </si>
  <si>
    <t xml:space="preserve">52.774.512</t>
  </si>
  <si>
    <t xml:space="preserve">18/10/2012</t>
  </si>
  <si>
    <t xml:space="preserve">vizcarra.bastian.et21.26@gmail.com</t>
  </si>
  <si>
    <t xml:space="preserve">Aranda</t>
  </si>
  <si>
    <t xml:space="preserve">1122697642 (Madre)</t>
  </si>
  <si>
    <t xml:space="preserve">debyaranda4@gmail.com</t>
  </si>
  <si>
    <t xml:space="preserve">https://docs.google.com/spreadsheets/d/1rRIeNCw8tQTFmO9m7yxSUMBhMTA9ZnqJZYA8MBVlMrE/edit?usp=drivesdk</t>
  </si>
  <si>
    <t xml:space="preserve">Benjamin Ian</t>
  </si>
  <si>
    <t xml:space="preserve">52.653.612</t>
  </si>
  <si>
    <t xml:space="preserve">22/07/2012</t>
  </si>
  <si>
    <t xml:space="preserve">gonzalez.benjamin.et21.26@gmail.com</t>
  </si>
  <si>
    <t xml:space="preserve">1134429620 (Madre)</t>
  </si>
  <si>
    <t xml:space="preserve">https://docs.google.com/spreadsheets/d/10_ub5q1opoB4D9M5uYQOX9O2SYS0PTVWhFJLEcJUjXg/edit?usp=drivesdk</t>
  </si>
  <si>
    <t xml:space="preserve">https://drive.google.com/drive/folders/1R5KNC8WZx9VatgzEeBZcNkSuBhovMUgu</t>
  </si>
  <si>
    <t xml:space="preserve">Verón Villarroel</t>
  </si>
  <si>
    <t xml:space="preserve">Benjamin Nehuel</t>
  </si>
  <si>
    <t xml:space="preserve">52.853.999</t>
  </si>
  <si>
    <t xml:space="preserve">veron.benjamin.et21.26@gmail.com</t>
  </si>
  <si>
    <t xml:space="preserve">Rocio</t>
  </si>
  <si>
    <t xml:space="preserve">Villarroel</t>
  </si>
  <si>
    <t xml:space="preserve">1153845820 (Madre)</t>
  </si>
  <si>
    <t xml:space="preserve">rocio.denise.villarroel@gmail.com</t>
  </si>
  <si>
    <t xml:space="preserve">https://docs.google.com/spreadsheets/d/1GKkN7y1Y2GvUi_Xnsh_V89SCbkRU2Av5fKSqKivXNB8/edit?usp=drivesdk</t>
  </si>
  <si>
    <t xml:space="preserve">ORIEL GONZALO VALENTÍN</t>
  </si>
  <si>
    <t xml:space="preserve">31/07/2007</t>
  </si>
  <si>
    <t xml:space="preserve">ramos.oriel.et21.24@gmail.com</t>
  </si>
  <si>
    <t xml:space="preserve">orielr4353@alu.bue.edu.ar</t>
  </si>
  <si>
    <t xml:space="preserve">Florida. Vicente López.</t>
  </si>
  <si>
    <t xml:space="preserve">Carlos Francisco Melo 4371</t>
  </si>
  <si>
    <t xml:space="preserve">B1603</t>
  </si>
  <si>
    <t xml:space="preserve">Yessica</t>
  </si>
  <si>
    <t xml:space="preserve">Ccoyo</t>
  </si>
  <si>
    <t xml:space="preserve">yessori312007@gmail.com</t>
  </si>
  <si>
    <t xml:space="preserve">https://docs.google.com/spreadsheets/d/1MlbAYCEhjKXdXa1QeSJ0p8INlr-A4F1Aoz_ME5Ga2wQ/edit?usp=drivesdk</t>
  </si>
  <si>
    <t xml:space="preserve">Hauschid</t>
  </si>
  <si>
    <t xml:space="preserve">Sebastian Rafael</t>
  </si>
  <si>
    <t xml:space="preserve">50.586.651</t>
  </si>
  <si>
    <t xml:space="preserve">25/10/2010</t>
  </si>
  <si>
    <t xml:space="preserve">hauschid.rafael.et21.24@gmail.com</t>
  </si>
  <si>
    <t xml:space="preserve">cgp12</t>
  </si>
  <si>
    <t xml:space="preserve">Nuñez 3620</t>
  </si>
  <si>
    <t xml:space="preserve">Jorge </t>
  </si>
  <si>
    <t xml:space="preserve">1135071682 (Padre)</t>
  </si>
  <si>
    <t xml:space="preserve">elgringo31@hotmail.es</t>
  </si>
  <si>
    <t xml:space="preserve">https://docs.google.com/spreadsheets/d/1uCHJfBJGNXB1-ElGPxgBMU0ZQMvdAqX6jAC34FXQlmo/edit?usp=drivesdk</t>
  </si>
  <si>
    <t xml:space="preserve">Bortoni</t>
  </si>
  <si>
    <t xml:space="preserve">Lautaro Nicolás</t>
  </si>
  <si>
    <t xml:space="preserve">49.764.196</t>
  </si>
  <si>
    <t xml:space="preserve">17/10/2009</t>
  </si>
  <si>
    <t xml:space="preserve">bortoni.lautaro.et21.23@gmail.com</t>
  </si>
  <si>
    <t xml:space="preserve">Quesada 3292</t>
  </si>
  <si>
    <t xml:space="preserve">Silvina Mirta</t>
  </si>
  <si>
    <t xml:space="preserve">silvinalfb@gmail.com</t>
  </si>
  <si>
    <t xml:space="preserve">https://docs.google.com/spreadsheets/d/15ciEncpy8hCSgz1v0BaXbYdfuu_XPLcTg-xgpSvzpOU/edit?usp=drivesdk</t>
  </si>
  <si>
    <t xml:space="preserve">https://drive.google.com/drive/folders/1blQh1Ixac08Hzf4RCy3mFJ_yPe3BH0ED</t>
  </si>
  <si>
    <t xml:space="preserve">ROSAS BELLO</t>
  </si>
  <si>
    <t xml:space="preserve">GERSON SANTIAGO</t>
  </si>
  <si>
    <t xml:space="preserve">VENEZOLANO</t>
  </si>
  <si>
    <t xml:space="preserve">rosas.gerson.et21.23@gmail.com</t>
  </si>
  <si>
    <t xml:space="preserve">rosasgerson659@alu.bue.edu.ar</t>
  </si>
  <si>
    <t xml:space="preserve">QUESADA 3292</t>
  </si>
  <si>
    <t xml:space="preserve">MILAGROS ALEJANDRA</t>
  </si>
  <si>
    <t xml:space="preserve">BELLO</t>
  </si>
  <si>
    <t xml:space="preserve">milagrosbello321@gmail.com</t>
  </si>
  <si>
    <t xml:space="preserve">https://docs.google.com/spreadsheets/d/1uBEjCnnhCYDAqo19aSjJp2iPmSVxKX7yytoNFxyu5TA/edit?usp=drivesdk</t>
  </si>
  <si>
    <t xml:space="preserve">AGUIRRE CARDOSO</t>
  </si>
  <si>
    <t xml:space="preserve">ANTONELLA VICTORIA</t>
  </si>
  <si>
    <t xml:space="preserve">antonella.aguirre.et21.26@gmail.com</t>
  </si>
  <si>
    <t xml:space="preserve">antonellaa189@alu.bue.edu.ar</t>
  </si>
  <si>
    <t xml:space="preserve">HELGUERA 3519</t>
  </si>
  <si>
    <t xml:space="preserve">melina alejandra</t>
  </si>
  <si>
    <t xml:space="preserve">cardoso petroff</t>
  </si>
  <si>
    <t xml:space="preserve">MELYCUERVA87@GMAIL.COM</t>
  </si>
  <si>
    <t xml:space="preserve">Iglesias, Pablo</t>
  </si>
  <si>
    <t xml:space="preserve">https://docs.google.com/spreadsheets/d/1T0uUQkyxOqCZaoC8OoNZmJixaaU6eA-ZxGJ5dX6N8AE/edit?usp=drivesdk</t>
  </si>
  <si>
    <t xml:space="preserve">https://drive.google.com/drive/folders/1mUqLjiE2nnO8A0S4EOBgHoY5MwffU1oL</t>
  </si>
  <si>
    <t xml:space="preserve">15/10/2009</t>
  </si>
  <si>
    <t xml:space="preserve">morales.mateo.et21.23@gmail.com</t>
  </si>
  <si>
    <t xml:space="preserve">mateom446@alu.bue.edu.ar</t>
  </si>
  <si>
    <t xml:space="preserve">Villa martelli</t>
  </si>
  <si>
    <t xml:space="preserve">Carlos Francisco melo 4648</t>
  </si>
  <si>
    <t xml:space="preserve">yesica</t>
  </si>
  <si>
    <t xml:space="preserve">loyola</t>
  </si>
  <si>
    <t xml:space="preserve">https://docs.google.com/spreadsheets/d/1AFrKhcYy7SdIoaqnJDAF9rlY1MtGD9RxANjXUi2_JSQ/edit?usp=drivesdk</t>
  </si>
  <si>
    <t xml:space="preserve">Luna Campero</t>
  </si>
  <si>
    <t xml:space="preserve">Ezequiel Tomás</t>
  </si>
  <si>
    <t xml:space="preserve">30/07/2009</t>
  </si>
  <si>
    <t xml:space="preserve">luna.tomas.et21.23@gmail.com</t>
  </si>
  <si>
    <t xml:space="preserve">ezequiell756@alu.bue.edu.ar</t>
  </si>
  <si>
    <t xml:space="preserve">Ruiz Huidobro 3475</t>
  </si>
  <si>
    <t xml:space="preserve">Enrique Tomás</t>
  </si>
  <si>
    <t xml:space="preserve">Luna</t>
  </si>
  <si>
    <t xml:space="preserve">tomassluna08@gmail.com</t>
  </si>
  <si>
    <t xml:space="preserve">https://docs.google.com/spreadsheets/d/1gZNO9d_kWqhnUf5Rg8K7ah7WH4qXBlDsGONpllNjoRk/edit?usp=drivesdk</t>
  </si>
  <si>
    <t xml:space="preserve">Pereyra Dalmedo</t>
  </si>
  <si>
    <t xml:space="preserve">Jonas Agustin</t>
  </si>
  <si>
    <t xml:space="preserve">26/11/2009</t>
  </si>
  <si>
    <t xml:space="preserve">pereyra.franco.et21.23@gmail.com</t>
  </si>
  <si>
    <t xml:space="preserve">francop447@alu.bue.edu.ar</t>
  </si>
  <si>
    <t xml:space="preserve">cgp15</t>
  </si>
  <si>
    <t xml:space="preserve">Gral. Manuel Rodriguez 2376</t>
  </si>
  <si>
    <t xml:space="preserve">david</t>
  </si>
  <si>
    <t xml:space="preserve">pereyra</t>
  </si>
  <si>
    <t xml:space="preserve">doser_tex@yahoo.com.ar</t>
  </si>
  <si>
    <t xml:space="preserve">Carregal, Leonardo</t>
  </si>
  <si>
    <t xml:space="preserve">https://docs.google.com/spreadsheets/d/1IdcMxyEtZ7GZDE6n9LQjuhBComHpNaDENUfM0J_aFZ8/edit?usp=drivesdk</t>
  </si>
  <si>
    <t xml:space="preserve">Poiman</t>
  </si>
  <si>
    <t xml:space="preserve">Ciro Daniel</t>
  </si>
  <si>
    <t xml:space="preserve">ciro.poiman.et21.23@gmail.com</t>
  </si>
  <si>
    <t xml:space="preserve">cirop620@alu.bue.edu.ar</t>
  </si>
  <si>
    <t xml:space="preserve">Provincia</t>
  </si>
  <si>
    <t xml:space="preserve">San Andres</t>
  </si>
  <si>
    <t xml:space="preserve">Alem 3696</t>
  </si>
  <si>
    <t xml:space="preserve">Gilda</t>
  </si>
  <si>
    <t xml:space="preserve">poiman</t>
  </si>
  <si>
    <t xml:space="preserve">gildapoiman81@gmail.com</t>
  </si>
  <si>
    <t xml:space="preserve">https://docs.google.com/spreadsheets/d/1PxCqdhsYuclWP4YxINygEEbUk0-3biVI1Bsh0Z-YhJw/edit?usp=drivesdk</t>
  </si>
  <si>
    <t xml:space="preserve">Pineda</t>
  </si>
  <si>
    <t xml:space="preserve">Zoe</t>
  </si>
  <si>
    <t xml:space="preserve">19/2/2010</t>
  </si>
  <si>
    <t xml:space="preserve">pineda.zoe.et21.24@gmail.com</t>
  </si>
  <si>
    <t xml:space="preserve">zoep161@alu.bue.edu.ar</t>
  </si>
  <si>
    <t xml:space="preserve">Ginebra 3828</t>
  </si>
  <si>
    <t xml:space="preserve">valeria</t>
  </si>
  <si>
    <t xml:space="preserve">valineria@hotmail.com</t>
  </si>
  <si>
    <t xml:space="preserve">https://docs.google.com/spreadsheets/d/1wBYARUiy31q5t82h0qYt8USybcER-wyoibwodK8jgPg/edit?usp=drivesdk</t>
  </si>
  <si>
    <t xml:space="preserve">Palomeque</t>
  </si>
  <si>
    <t xml:space="preserve">Jonas</t>
  </si>
  <si>
    <t xml:space="preserve">palomeque.jonas.et21.25@gmail.com</t>
  </si>
  <si>
    <t xml:space="preserve">jonasp7436@alu.bue.edu.ar</t>
  </si>
  <si>
    <t xml:space="preserve">Dorrego 3993</t>
  </si>
  <si>
    <t xml:space="preserve">Fiama</t>
  </si>
  <si>
    <t xml:space="preserve">Mengoni</t>
  </si>
  <si>
    <t xml:space="preserve">fiamy.mengoni@gmail.com</t>
  </si>
  <si>
    <t xml:space="preserve">Dalmedo, Mariana</t>
  </si>
  <si>
    <t xml:space="preserve">https://docs.google.com/spreadsheets/d/1b80bO5xz-JP3A2bUaLzpIyGTDKjyeLRYmOywGXwXXSM/edit?usp=drivesdk</t>
  </si>
  <si>
    <t xml:space="preserve">hayes</t>
  </si>
  <si>
    <t xml:space="preserve">nicolas</t>
  </si>
  <si>
    <t xml:space="preserve">hayes.nicolas.et21.24@gmail.com</t>
  </si>
  <si>
    <t xml:space="preserve">nicolash721@alu.bue.edu.ar</t>
  </si>
  <si>
    <t xml:space="preserve">CGP12, Coghlan</t>
  </si>
  <si>
    <t xml:space="preserve">Superi 2741</t>
  </si>
  <si>
    <t xml:space="preserve">Hayes</t>
  </si>
  <si>
    <t xml:space="preserve">santiagoh@gmail.com</t>
  </si>
  <si>
    <t xml:space="preserve">Maria Celeste </t>
  </si>
  <si>
    <t xml:space="preserve">Alsina</t>
  </si>
  <si>
    <t xml:space="preserve">celeste.alsina@gmail.com</t>
  </si>
  <si>
    <t xml:space="preserve">https://docs.google.com/spreadsheets/d/1UvVrLRDej9983lmZcOPGCZUpzb7qvlO5xDEyn7ov4wI/edit?usp=drivesdk</t>
  </si>
  <si>
    <t xml:space="preserve">Duarte Kirsanov</t>
  </si>
  <si>
    <t xml:space="preserve">21/09/09</t>
  </si>
  <si>
    <t xml:space="preserve">duarte.joaquin.et21.25@gmail.com</t>
  </si>
  <si>
    <t xml:space="preserve">Brasil 494</t>
  </si>
  <si>
    <t xml:space="preserve">Nancy</t>
  </si>
  <si>
    <t xml:space="preserve">Kirsanov</t>
  </si>
  <si>
    <t xml:space="preserve">kirsanov.nancy@hotmail.com</t>
  </si>
  <si>
    <t xml:space="preserve">Freddy</t>
  </si>
  <si>
    <t xml:space="preserve">Duarte</t>
  </si>
  <si>
    <t xml:space="preserve">https://docs.google.com/spreadsheets/d/1xuKABIecEdDleyrmaRFrVJS4tTNq40k0wwtbHGJD-KY/edit?usp=drivesdk</t>
  </si>
  <si>
    <t xml:space="preserve">https://drive.google.com/drive/folders/18rpwQIP7WIJcExSOQ574qVJNPxP_B6oZ</t>
  </si>
  <si>
    <t xml:space="preserve">Duarte Alvarez</t>
  </si>
  <si>
    <t xml:space="preserve">Alejandro Ramon  </t>
  </si>
  <si>
    <t xml:space="preserve">52.646.155 </t>
  </si>
  <si>
    <t xml:space="preserve">sin ndatos</t>
  </si>
  <si>
    <t xml:space="preserve">sin  datos</t>
  </si>
  <si>
    <t xml:space="preserve">duarte.alejandro.et21.26@gmail.com</t>
  </si>
  <si>
    <t xml:space="preserve">siun datos</t>
  </si>
  <si>
    <t xml:space="preserve">mamá</t>
  </si>
  <si>
    <t xml:space="preserve">silviacanterosalvarez@gmail.com</t>
  </si>
  <si>
    <t xml:space="preserve">Sara</t>
  </si>
  <si>
    <t xml:space="preserve">Grance</t>
  </si>
  <si>
    <t xml:space="preserve">11 6440-1053</t>
  </si>
  <si>
    <t xml:space="preserve">saragranceb@gmail.com</t>
  </si>
  <si>
    <t xml:space="preserve">https://docs.google.com/spreadsheets/d/1agsFf7BM8Q_0lzKzchuTW6aPB1QPWg4CIQ7yQdo_L_w/edit?usp=drive_link</t>
  </si>
  <si>
    <t xml:space="preserve">https://drive.google.com/drive/folders/18rpwQIP7WIJcExSOQ574qVJNPxP_B6oZ?usp=drive_link</t>
  </si>
  <si>
    <t xml:space="preserve">Apellido y Nombre</t>
  </si>
  <si>
    <t xml:space="preserve">Email</t>
  </si>
  <si>
    <t xml:space="preserve">Situación</t>
  </si>
  <si>
    <t xml:space="preserve">Ciclos</t>
  </si>
  <si>
    <t xml:space="preserve">Horas</t>
  </si>
  <si>
    <t xml:space="preserve">Horas sin Alumnos</t>
  </si>
  <si>
    <t xml:space="preserve">Maximo teórico</t>
  </si>
  <si>
    <t xml:space="preserve">Máx Alumnos</t>
  </si>
  <si>
    <t xml:space="preserve">Alumnos asignados</t>
  </si>
  <si>
    <t xml:space="preserve">Vacantes Disponibles</t>
  </si>
  <si>
    <t xml:space="preserve">Cantidad de alumnos diurno</t>
  </si>
  <si>
    <t xml:space="preserve">Cantidad de alumnos nocturno</t>
  </si>
  <si>
    <t xml:space="preserve">Teórico</t>
  </si>
  <si>
    <t xml:space="preserve">Real</t>
  </si>
  <si>
    <t xml:space="preserve">PAT</t>
  </si>
  <si>
    <t xml:space="preserve">No-PAT</t>
  </si>
  <si>
    <t xml:space="preserve">Cantidad de Alumnos</t>
  </si>
  <si>
    <t xml:space="preserve">Cupo máx. de alumnos PAT</t>
  </si>
  <si>
    <t xml:space="preserve">% de ocupacion</t>
  </si>
  <si>
    <t xml:space="preserve">Esp.</t>
  </si>
  <si>
    <t xml:space="preserve">Parcial</t>
  </si>
  <si>
    <t xml:space="preserve">Total</t>
  </si>
  <si>
    <t xml:space="preserve">Diurno</t>
  </si>
  <si>
    <t xml:space="preserve">Mixto</t>
  </si>
  <si>
    <t xml:space="preserve">Nocturno</t>
  </si>
  <si>
    <t xml:space="preserve">Email Alumno</t>
  </si>
  <si>
    <t xml:space="preserve">Alumno</t>
  </si>
  <si>
    <t xml:space="preserve">Motivo</t>
  </si>
  <si>
    <t xml:space="preserve">Column 1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</si>
</sst>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VERDADERO&quot;;&quot;VERDADERO&quot;;&quot;FALSO&quot;"/>
    <numFmt numFmtId="166" formatCode="m/d/yyyy\ h:mm:ss"/>
    <numFmt numFmtId="167" formatCode="dd/mm/yyyy"/>
    <numFmt numFmtId="168" formatCode="yyyy\-mm\-dd"/>
    <numFmt numFmtId="169" formatCode="@"/>
    <numFmt numFmtId="170" formatCode="#,##0.00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u val="single"/>
      <sz val="11"/>
      <color rgb="FF1155CC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sz val="11"/>
      <color rgb="FF202124"/>
      <name val="Roboto"/>
      <family val="0"/>
      <charset val="1"/>
    </font>
    <font>
      <sz val="9"/>
      <color rgb="FF2A2426"/>
      <name val="Arial"/>
      <family val="0"/>
      <charset val="1"/>
    </font>
    <font>
      <u val="single"/>
      <sz val="11"/>
      <color theme="1"/>
      <name val="Arial"/>
      <family val="0"/>
      <charset val="1"/>
    </font>
    <font>
      <sz val="10"/>
      <color rgb="FF555555"/>
      <name val="Arial"/>
      <family val="0"/>
      <charset val="1"/>
    </font>
    <font>
      <sz val="11"/>
      <color rgb="FF5E5E5E"/>
      <name val="&quot;Google Sans&quot;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A4C2F4"/>
        <bgColor rgb="FFC9DAF8"/>
      </patternFill>
    </fill>
    <fill>
      <patternFill patternType="solid">
        <fgColor rgb="FFFFF2CC"/>
        <bgColor rgb="FFFFFFFF"/>
      </patternFill>
    </fill>
    <fill>
      <patternFill patternType="solid">
        <fgColor rgb="FFEAD1D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EAD1DC"/>
      </patternFill>
    </fill>
    <fill>
      <patternFill patternType="solid">
        <fgColor rgb="FFFF9900"/>
        <bgColor rgb="FFFFCC00"/>
      </patternFill>
    </fill>
    <fill>
      <patternFill patternType="solid">
        <fgColor rgb="FF000000"/>
        <bgColor rgb="FF202124"/>
      </patternFill>
    </fill>
    <fill>
      <patternFill patternType="solid">
        <fgColor rgb="FFC9DAF8"/>
        <bgColor rgb="FFD9D2E9"/>
      </patternFill>
    </fill>
    <fill>
      <patternFill patternType="solid">
        <fgColor rgb="FFF4CCCC"/>
        <bgColor rgb="FFEAD1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D9D2E9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A242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E9"/>
      <rgbColor rgb="FF808080"/>
      <rgbColor rgb="FF9999FF"/>
      <rgbColor rgb="FF993366"/>
      <rgbColor rgb="FFFFF2CC"/>
      <rgbColor rgb="FFCCFFFF"/>
      <rgbColor rgb="FF660066"/>
      <rgbColor rgb="FFFF8080"/>
      <rgbColor rgb="FF1155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AD1DC"/>
      <rgbColor rgb="FFFFFF99"/>
      <rgbColor rgb="FFA4C2F4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E5E5E"/>
      <rgbColor rgb="FF969696"/>
      <rgbColor rgb="FF003366"/>
      <rgbColor rgb="FF339966"/>
      <rgbColor rgb="FF003300"/>
      <rgbColor rgb="FF202124"/>
      <rgbColor rgb="FF993300"/>
      <rgbColor rgb="FF993366"/>
      <rgbColor rgb="FF555555"/>
      <rgbColor rgb="FF2A24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ocentes" displayName="Docentes" ref="A1:L101" headerRowCount="1" totalsRowCount="0" totalsRowShown="0">
  <tableColumns count="12">
    <tableColumn id="1" name="Apellido y Nombre"/>
    <tableColumn id="2" name="Email"/>
    <tableColumn id="3" name="DNI"/>
    <tableColumn id="4" name="Situación"/>
    <tableColumn id="5" name="Ciclos"/>
    <tableColumn id="6" name="Turno"/>
    <tableColumn id="7" name="Horas"/>
    <tableColumn id="8" name="Horas sin Alumnos"/>
    <tableColumn id="9" name="Maximo teórico"/>
    <tableColumn id="10" name="Máx Alumnos"/>
    <tableColumn id="11" name="Alumnos asignados"/>
    <tableColumn id="12" name="Vacantes Disponibles"/>
  </tableColumns>
</table>
</file>

<file path=xl/tables/table2.xml><?xml version="1.0" encoding="utf-8"?>
<table xmlns="http://schemas.openxmlformats.org/spreadsheetml/2006/main" id="2" name="Table2" displayName="Table2" ref="A1:L5" headerRowCount="1" totalsRowCount="0" totalsRowShown="0">
  <tableColumns count="12">
    <tableColumn id="1" name="Apellido y Nombre"/>
    <tableColumn id="2" name="Email"/>
    <tableColumn id="3" name="DNI"/>
    <tableColumn id="4" name="Ciclos"/>
    <tableColumn id="5" name="Turno"/>
    <tableColumn id="6" name="Horas"/>
    <tableColumn id="7" name="Horas sin Alumnos"/>
    <tableColumn id="8" name="Maximo teórico"/>
    <tableColumn id="9" name="Máx Alumnos"/>
    <tableColumn id="10" name="Alumnos asignados"/>
    <tableColumn id="11" name="Vacantes Disponibles"/>
    <tableColumn id="12" name="Column 1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ocs.google.com/spreadsheets/d/19PxvPfGsGu8F3B0iIsOJYTqvfHWQSPK_pHgkXrO397s/edit?usp=drivesdk" TargetMode="External"/><Relationship Id="rId2" Type="http://schemas.openxmlformats.org/officeDocument/2006/relationships/hyperlink" Target="https://drive.google.com/drive/folders/1VtbC3ANLqCxXDw_BqR_SHYEELqpyy98u" TargetMode="External"/><Relationship Id="rId3" Type="http://schemas.openxmlformats.org/officeDocument/2006/relationships/hyperlink" Target="https://docs.google.com/spreadsheets/d/1S9WBiX0Sv4CQV-mrOtML-ZcBTOwtBtbAj5vbkBcI390/edit?usp=drivesdk" TargetMode="External"/><Relationship Id="rId4" Type="http://schemas.openxmlformats.org/officeDocument/2006/relationships/hyperlink" Target="https://drive.google.com/drive/folders/1VtbC3ANLqCxXDw_BqR_SHYEELqpyy98u" TargetMode="External"/><Relationship Id="rId5" Type="http://schemas.openxmlformats.org/officeDocument/2006/relationships/hyperlink" Target="https://docs.google.com/spreadsheets/d/182yp3rXNO3nEiUWuJUToySK5BZnA_Y4Z-CpwGtChvlY/edit?usp=drivesdk" TargetMode="External"/><Relationship Id="rId6" Type="http://schemas.openxmlformats.org/officeDocument/2006/relationships/hyperlink" Target="https://drive.google.com/drive/folders/1VtbC3ANLqCxXDw_BqR_SHYEELqpyy98u" TargetMode="External"/><Relationship Id="rId7" Type="http://schemas.openxmlformats.org/officeDocument/2006/relationships/hyperlink" Target="https://docs.google.com/spreadsheets/d/1Zcje-KX2TuwgnEHPD2P-Vv1YVb6QdoziI7yRGQPyfB8/edit?usp=drivesdk" TargetMode="External"/><Relationship Id="rId8" Type="http://schemas.openxmlformats.org/officeDocument/2006/relationships/hyperlink" Target="https://drive.google.com/drive/folders/1VtbC3ANLqCxXDw_BqR_SHYEELqpyy98u" TargetMode="External"/><Relationship Id="rId9" Type="http://schemas.openxmlformats.org/officeDocument/2006/relationships/hyperlink" Target="https://docs.google.com/spreadsheets/d/15BP5pihWRoAvUgXVPZBwAr_EtnvVd_XPrQyBwhpUl9k/edit?usp=drivesdk" TargetMode="External"/><Relationship Id="rId10" Type="http://schemas.openxmlformats.org/officeDocument/2006/relationships/hyperlink" Target="https://drive.google.com/drive/folders/1VtbC3ANLqCxXDw_BqR_SHYEELqpyy98u" TargetMode="External"/><Relationship Id="rId11" Type="http://schemas.openxmlformats.org/officeDocument/2006/relationships/hyperlink" Target="https://docs.google.com/spreadsheets/d/1wNHux6gRQp6oyM5_dFNLS4VeNGokLWt-ZBLVUp7Rrvk/edit?usp=drivesdk" TargetMode="External"/><Relationship Id="rId12" Type="http://schemas.openxmlformats.org/officeDocument/2006/relationships/hyperlink" Target="https://drive.google.com/drive/folders/1VtbC3ANLqCxXDw_BqR_SHYEELqpyy98u" TargetMode="External"/><Relationship Id="rId13" Type="http://schemas.openxmlformats.org/officeDocument/2006/relationships/hyperlink" Target="https://docs.google.com/spreadsheets/d/1qPC24VtnV2C-Dhct518KwqXvnqmV1oSq_IVOeA6Vt0w/edit?usp=drivesdk" TargetMode="External"/><Relationship Id="rId14" Type="http://schemas.openxmlformats.org/officeDocument/2006/relationships/hyperlink" Target="https://drive.google.com/drive/folders/1VtbC3ANLqCxXDw_BqR_SHYEELqpyy98u" TargetMode="External"/><Relationship Id="rId15" Type="http://schemas.openxmlformats.org/officeDocument/2006/relationships/hyperlink" Target="https://docs.google.com/spreadsheets/d/1lPKgpKgkcnjhbfwUnZeGvZ2q0KHfF3m_KPUuYKTpvDU/edit?usp=drivesdk" TargetMode="External"/><Relationship Id="rId16" Type="http://schemas.openxmlformats.org/officeDocument/2006/relationships/hyperlink" Target="https://drive.google.com/drive/folders/1VtbC3ANLqCxXDw_BqR_SHYEELqpyy98u" TargetMode="External"/><Relationship Id="rId17" Type="http://schemas.openxmlformats.org/officeDocument/2006/relationships/hyperlink" Target="https://docs.google.com/spreadsheets/d/1yFPSqF5FxurYxLK-hQWn6PUDDXnROxT6HcpBaFy-5X4/edit?usp=drivesdk" TargetMode="External"/><Relationship Id="rId18" Type="http://schemas.openxmlformats.org/officeDocument/2006/relationships/hyperlink" Target="https://drive.google.com/drive/folders/1VtbC3ANLqCxXDw_BqR_SHYEELqpyy98u" TargetMode="External"/><Relationship Id="rId19" Type="http://schemas.openxmlformats.org/officeDocument/2006/relationships/hyperlink" Target="https://docs.google.com/spreadsheets/d/1fW-QgMHYMgroUc2aFXa32bBebR-Z-Zm2Qc5ox8p0PwU/edit?usp=drivesdk" TargetMode="External"/><Relationship Id="rId20" Type="http://schemas.openxmlformats.org/officeDocument/2006/relationships/hyperlink" Target="https://drive.google.com/drive/folders/1VtbC3ANLqCxXDw_BqR_SHYEELqpyy98u" TargetMode="External"/><Relationship Id="rId21" Type="http://schemas.openxmlformats.org/officeDocument/2006/relationships/hyperlink" Target="https://docs.google.com/spreadsheets/d/1pbj5VSSwAXqtDFo-1wcxma7PlatVzio1i74FMO2xBqk/edit?usp=drivesdk" TargetMode="External"/><Relationship Id="rId22" Type="http://schemas.openxmlformats.org/officeDocument/2006/relationships/hyperlink" Target="https://drive.google.com/drive/folders/1VtbC3ANLqCxXDw_BqR_SHYEELqpyy98u" TargetMode="External"/><Relationship Id="rId23" Type="http://schemas.openxmlformats.org/officeDocument/2006/relationships/hyperlink" Target="https://docs.google.com/spreadsheets/d/1XxP6MUZHQnHKs188DQw31evbMmtMdNsDCO-RHGDhpDM/edit?usp=drivesdk" TargetMode="External"/><Relationship Id="rId24" Type="http://schemas.openxmlformats.org/officeDocument/2006/relationships/hyperlink" Target="https://drive.google.com/drive/folders/1VtbC3ANLqCxXDw_BqR_SHYEELqpyy98u" TargetMode="External"/><Relationship Id="rId25" Type="http://schemas.openxmlformats.org/officeDocument/2006/relationships/hyperlink" Target="https://docs.google.com/spreadsheets/d/1jiqPUKjcYxN__ISkl4hWaiXdM2k3eBcbU1SYPZKJk_Y/edit?usp=drivesdk" TargetMode="External"/><Relationship Id="rId26" Type="http://schemas.openxmlformats.org/officeDocument/2006/relationships/hyperlink" Target="https://drive.google.com/drive/folders/1VtbC3ANLqCxXDw_BqR_SHYEELqpyy98u" TargetMode="External"/><Relationship Id="rId27" Type="http://schemas.openxmlformats.org/officeDocument/2006/relationships/hyperlink" Target="https://docs.google.com/spreadsheets/d/1RSzADnKOJwF_fOi20iQHn1JQAtCcpmdSV5b-Re1Thpk/edit?usp=drivesdk" TargetMode="External"/><Relationship Id="rId28" Type="http://schemas.openxmlformats.org/officeDocument/2006/relationships/hyperlink" Target="https://drive.google.com/drive/folders/1VtbC3ANLqCxXDw_BqR_SHYEELqpyy98u" TargetMode="External"/><Relationship Id="rId29" Type="http://schemas.openxmlformats.org/officeDocument/2006/relationships/hyperlink" Target="https://docs.google.com/spreadsheets/d/1GchOe5ZDJOYV-FjQvMjZ9O58ErS3sIPM79bdWESJLd0/edit?usp=drivesdk" TargetMode="External"/><Relationship Id="rId30" Type="http://schemas.openxmlformats.org/officeDocument/2006/relationships/hyperlink" Target="https://drive.google.com/drive/folders/1VtbC3ANLqCxXDw_BqR_SHYEELqpyy98u" TargetMode="External"/><Relationship Id="rId31" Type="http://schemas.openxmlformats.org/officeDocument/2006/relationships/hyperlink" Target="https://docs.google.com/spreadsheets/d/1Ott0wQ9Tx-I_NXsA1bOB524S3AGJDI79aal9ZUtXKEg/edit?usp=drivesdk" TargetMode="External"/><Relationship Id="rId32" Type="http://schemas.openxmlformats.org/officeDocument/2006/relationships/hyperlink" Target="https://drive.google.com/drive/folders/1VtbC3ANLqCxXDw_BqR_SHYEELqpyy98u" TargetMode="External"/><Relationship Id="rId33" Type="http://schemas.openxmlformats.org/officeDocument/2006/relationships/hyperlink" Target="https://docs.google.com/spreadsheets/d/1huC_MgOf8j1WxV5IJZG-BeYOt3cqiNV2HRIG6b8iTMQ/edit?usp=drivesdk" TargetMode="External"/><Relationship Id="rId34" Type="http://schemas.openxmlformats.org/officeDocument/2006/relationships/hyperlink" Target="https://drive.google.com/drive/folders/1VtbC3ANLqCxXDw_BqR_SHYEELqpyy98u" TargetMode="External"/><Relationship Id="rId35" Type="http://schemas.openxmlformats.org/officeDocument/2006/relationships/hyperlink" Target="https://docs.google.com/spreadsheets/d/1eTtePbXk7Jv4L-QYt5vF1LacRk-74w9iNlUkU224uyc/edit?usp=drivesdk" TargetMode="External"/><Relationship Id="rId36" Type="http://schemas.openxmlformats.org/officeDocument/2006/relationships/hyperlink" Target="https://drive.google.com/drive/folders/1VtbC3ANLqCxXDw_BqR_SHYEELqpyy98u" TargetMode="External"/><Relationship Id="rId37" Type="http://schemas.openxmlformats.org/officeDocument/2006/relationships/hyperlink" Target="https://docs.google.com/spreadsheets/d/1RkAiQwijw4CMoxCWkLLUnGQwOCGa75RliqxWpZYwM5c/edit?usp=drivesdk" TargetMode="External"/><Relationship Id="rId38" Type="http://schemas.openxmlformats.org/officeDocument/2006/relationships/hyperlink" Target="https://drive.google.com/drive/folders/1VtbC3ANLqCxXDw_BqR_SHYEELqpyy98u" TargetMode="External"/><Relationship Id="rId39" Type="http://schemas.openxmlformats.org/officeDocument/2006/relationships/hyperlink" Target="https://docs.google.com/spreadsheets/d/1wrUF9DSTGIjbnck7VgcgxymnZzjjIMlgznMrAP-FzEw/edit?usp=drivesdk" TargetMode="External"/><Relationship Id="rId40" Type="http://schemas.openxmlformats.org/officeDocument/2006/relationships/hyperlink" Target="https://drive.google.com/drive/folders/1VtbC3ANLqCxXDw_BqR_SHYEELqpyy98u" TargetMode="External"/><Relationship Id="rId41" Type="http://schemas.openxmlformats.org/officeDocument/2006/relationships/hyperlink" Target="https://docs.google.com/spreadsheets/d/11-oDXS_a5r43wB7Hz3shISL713b1YJxudrqgBwYfcyM/edit?usp=drivesdk" TargetMode="External"/><Relationship Id="rId42" Type="http://schemas.openxmlformats.org/officeDocument/2006/relationships/hyperlink" Target="https://drive.google.com/drive/folders/1VtbC3ANLqCxXDw_BqR_SHYEELqpyy98u" TargetMode="External"/><Relationship Id="rId43" Type="http://schemas.openxmlformats.org/officeDocument/2006/relationships/hyperlink" Target="https://docs.google.com/spreadsheets/d/1mp4IsyqsEVigw4_deuKMyuY86vdIq23HP-J2H8ZwKuY/edit?usp=drivesdk" TargetMode="External"/><Relationship Id="rId44" Type="http://schemas.openxmlformats.org/officeDocument/2006/relationships/hyperlink" Target="https://drive.google.com/drive/folders/1VtbC3ANLqCxXDw_BqR_SHYEELqpyy98u" TargetMode="External"/><Relationship Id="rId45" Type="http://schemas.openxmlformats.org/officeDocument/2006/relationships/hyperlink" Target="https://docs.google.com/spreadsheets/d/1x6miuEUft3JgKBjnaTfzUDbOTJMGIPcQO2UOMU9VBnE/edit?usp=drivesdk" TargetMode="External"/><Relationship Id="rId46" Type="http://schemas.openxmlformats.org/officeDocument/2006/relationships/hyperlink" Target="https://drive.google.com/drive/folders/1VtbC3ANLqCxXDw_BqR_SHYEELqpyy98u" TargetMode="External"/><Relationship Id="rId47" Type="http://schemas.openxmlformats.org/officeDocument/2006/relationships/hyperlink" Target="https://docs.google.com/spreadsheets/d/119l5BK7Omy96HaMZtOXBZk9vGxGoXFCkRAWeKLOotRA/edit?usp=drivesdk" TargetMode="External"/><Relationship Id="rId48" Type="http://schemas.openxmlformats.org/officeDocument/2006/relationships/hyperlink" Target="https://drive.google.com/drive/folders/1VtbC3ANLqCxXDw_BqR_SHYEELqpyy98u" TargetMode="External"/><Relationship Id="rId49" Type="http://schemas.openxmlformats.org/officeDocument/2006/relationships/hyperlink" Target="https://docs.google.com/spreadsheets/d/1cJ5ZimMP0s8EY0p6HWOTcrBNAfCjmcfsGia7HzHhM7M/edit?usp=drivesdk" TargetMode="External"/><Relationship Id="rId50" Type="http://schemas.openxmlformats.org/officeDocument/2006/relationships/hyperlink" Target="https://drive.google.com/drive/folders/1VtbC3ANLqCxXDw_BqR_SHYEELqpyy98u" TargetMode="External"/><Relationship Id="rId51" Type="http://schemas.openxmlformats.org/officeDocument/2006/relationships/hyperlink" Target="https://docs.google.com/spreadsheets/d/1OFsp4Ea1Oaxxji-NC2uzqZFBZyb_KgcXGhQCHm4N-Y8/edit?usp=drivesdk" TargetMode="External"/><Relationship Id="rId52" Type="http://schemas.openxmlformats.org/officeDocument/2006/relationships/hyperlink" Target="https://drive.google.com/drive/folders/1VtbC3ANLqCxXDw_BqR_SHYEELqpyy98u" TargetMode="External"/><Relationship Id="rId53" Type="http://schemas.openxmlformats.org/officeDocument/2006/relationships/hyperlink" Target="https://docs.google.com/spreadsheets/d/1XH9hYetTGR07ivrJXYGBgC45lN_K9aVqQf2g49lk3jY/edit?usp=drivesdk" TargetMode="External"/><Relationship Id="rId54" Type="http://schemas.openxmlformats.org/officeDocument/2006/relationships/hyperlink" Target="https://drive.google.com/drive/folders/1VtbC3ANLqCxXDw_BqR_SHYEELqpyy98u" TargetMode="External"/><Relationship Id="rId55" Type="http://schemas.openxmlformats.org/officeDocument/2006/relationships/hyperlink" Target="https://docs.google.com/spreadsheets/d/1TAzXdbqax74l9_C8JtUTMr1fOpDBWogiZpMOrOHtciw/edit?usp=drivesdk" TargetMode="External"/><Relationship Id="rId56" Type="http://schemas.openxmlformats.org/officeDocument/2006/relationships/hyperlink" Target="https://drive.google.com/drive/folders/1VtbC3ANLqCxXDw_BqR_SHYEELqpyy98u" TargetMode="External"/><Relationship Id="rId57" Type="http://schemas.openxmlformats.org/officeDocument/2006/relationships/hyperlink" Target="https://docs.google.com/spreadsheets/d/1B9xeOaFvKIpbYMrCvdFDveMKqqjS2DmO3r23wmX4ulQ/edit?usp=drivesdk" TargetMode="External"/><Relationship Id="rId58" Type="http://schemas.openxmlformats.org/officeDocument/2006/relationships/hyperlink" Target="https://drive.google.com/drive/folders/1VtbC3ANLqCxXDw_BqR_SHYEELqpyy98u" TargetMode="External"/><Relationship Id="rId59" Type="http://schemas.openxmlformats.org/officeDocument/2006/relationships/hyperlink" Target="https://docs.google.com/spreadsheets/d/1Lgo7A3ytcSl-XDy8EtaLjestmK2MUx5RbhQzHg6xR7M/edit?usp=drivesdk" TargetMode="External"/><Relationship Id="rId60" Type="http://schemas.openxmlformats.org/officeDocument/2006/relationships/hyperlink" Target="https://drive.google.com/drive/folders/1VtbC3ANLqCxXDw_BqR_SHYEELqpyy98u" TargetMode="External"/><Relationship Id="rId61" Type="http://schemas.openxmlformats.org/officeDocument/2006/relationships/hyperlink" Target="https://docs.google.com/spreadsheets/d/13n_q08Z6OAcMtTTUQLS5S8_hvy-p4-mYK9iFhcOg4jI/edit?usp=drivesdk" TargetMode="External"/><Relationship Id="rId62" Type="http://schemas.openxmlformats.org/officeDocument/2006/relationships/hyperlink" Target="https://drive.google.com/drive/folders/1VtbC3ANLqCxXDw_BqR_SHYEELqpyy98u" TargetMode="External"/><Relationship Id="rId63" Type="http://schemas.openxmlformats.org/officeDocument/2006/relationships/hyperlink" Target="https://docs.google.com/spreadsheets/d/1CCTVSLoo0dQJjWiUtcmTT3MVCxAcWuoDLlm2SNjR6Cs/edit?usp=drivesdk" TargetMode="External"/><Relationship Id="rId64" Type="http://schemas.openxmlformats.org/officeDocument/2006/relationships/hyperlink" Target="https://drive.google.com/drive/folders/1VtbC3ANLqCxXDw_BqR_SHYEELqpyy98u" TargetMode="External"/><Relationship Id="rId65" Type="http://schemas.openxmlformats.org/officeDocument/2006/relationships/hyperlink" Target="http://alu.com.ar/" TargetMode="External"/><Relationship Id="rId66" Type="http://schemas.openxmlformats.org/officeDocument/2006/relationships/hyperlink" Target="https://docs.google.com/spreadsheets/d/1o9RhcQFydAAZsQffbIxgdXOfMTdho_SFBmrLCBLbp4M/edit?usp=drivesdk" TargetMode="External"/><Relationship Id="rId67" Type="http://schemas.openxmlformats.org/officeDocument/2006/relationships/hyperlink" Target="https://drive.google.com/drive/folders/1VtbC3ANLqCxXDw_BqR_SHYEELqpyy98u" TargetMode="External"/><Relationship Id="rId68" Type="http://schemas.openxmlformats.org/officeDocument/2006/relationships/hyperlink" Target="https://docs.google.com/spreadsheets/d/15nvRm8SN0QXHNVbvydKe1MMzMqkjiNQ51eJHmHwRofk/edit?usp=drivesdk" TargetMode="External"/><Relationship Id="rId69" Type="http://schemas.openxmlformats.org/officeDocument/2006/relationships/hyperlink" Target="https://drive.google.com/drive/folders/1oVZYT1yPNZnXLNdlHXbF_6MVref3-L-C" TargetMode="External"/><Relationship Id="rId70" Type="http://schemas.openxmlformats.org/officeDocument/2006/relationships/hyperlink" Target="https://docs.google.com/spreadsheets/d/1DHXE418ezPiY4OpwKRVA_o3x8KP3Xq6vzYbFFU9NqHg/edit?usp=drivesdk" TargetMode="External"/><Relationship Id="rId71" Type="http://schemas.openxmlformats.org/officeDocument/2006/relationships/hyperlink" Target="https://drive.google.com/drive/folders/1VtbC3ANLqCxXDw_BqR_SHYEELqpyy98u" TargetMode="External"/><Relationship Id="rId72" Type="http://schemas.openxmlformats.org/officeDocument/2006/relationships/hyperlink" Target="https://docs.google.com/spreadsheets/d/1W2muwJnu5kh01ooEdoJlpJgZaHZQQcmWPgznCNBhG9g/edit?usp=drivesdk" TargetMode="External"/><Relationship Id="rId73" Type="http://schemas.openxmlformats.org/officeDocument/2006/relationships/hyperlink" Target="https://drive.google.com/drive/folders/1VtbC3ANLqCxXDw_BqR_SHYEELqpyy98u" TargetMode="External"/><Relationship Id="rId74" Type="http://schemas.openxmlformats.org/officeDocument/2006/relationships/hyperlink" Target="https://docs.google.com/spreadsheets/d/1_lKnNM6675jXTqnwO-xalNym3PC-gE_s3hTW4RofBzc/edit?usp=drivesdk" TargetMode="External"/><Relationship Id="rId75" Type="http://schemas.openxmlformats.org/officeDocument/2006/relationships/hyperlink" Target="https://drive.google.com/drive/folders/1j9L8oBZXmaOQ0PzTDKoEtrX_qLU0c-GO" TargetMode="External"/><Relationship Id="rId76" Type="http://schemas.openxmlformats.org/officeDocument/2006/relationships/hyperlink" Target="https://docs.google.com/spreadsheets/d/1f5opm4E-vL9iaQuDM8PkKgFWCCsSFr6Bdb0Y1Cvm37U/edit?usp=drivesdk" TargetMode="External"/><Relationship Id="rId77" Type="http://schemas.openxmlformats.org/officeDocument/2006/relationships/hyperlink" Target="https://drive.google.com/drive/folders/1j9L8oBZXmaOQ0PzTDKoEtrX_qLU0c-GO" TargetMode="External"/><Relationship Id="rId78" Type="http://schemas.openxmlformats.org/officeDocument/2006/relationships/hyperlink" Target="https://docs.google.com/spreadsheets/d/1kPwxOdwYH6R5xb5fl40Awvh87iVuA1pg4194idzq3wM/edit?usp=drivesdk" TargetMode="External"/><Relationship Id="rId79" Type="http://schemas.openxmlformats.org/officeDocument/2006/relationships/hyperlink" Target="https://drive.google.com/drive/folders/1j9L8oBZXmaOQ0PzTDKoEtrX_qLU0c-GO" TargetMode="External"/><Relationship Id="rId80" Type="http://schemas.openxmlformats.org/officeDocument/2006/relationships/hyperlink" Target="https://docs.google.com/spreadsheets/d/1kvUq8Ds4ngWP_pAaZ-oHQcrJojLcCr3lUXIVPzevKYM/edit?usp=drivesdk" TargetMode="External"/><Relationship Id="rId81" Type="http://schemas.openxmlformats.org/officeDocument/2006/relationships/hyperlink" Target="https://drive.google.com/drive/folders/1j9L8oBZXmaOQ0PzTDKoEtrX_qLU0c-GO" TargetMode="External"/><Relationship Id="rId82" Type="http://schemas.openxmlformats.org/officeDocument/2006/relationships/hyperlink" Target="https://docs.google.com/spreadsheets/d/1MlYb9dqKaqY4ZphSazt1QHURgZ0VbkQXhBR-VtZszR8/edit?usp=drivesdk" TargetMode="External"/><Relationship Id="rId83" Type="http://schemas.openxmlformats.org/officeDocument/2006/relationships/hyperlink" Target="https://drive.google.com/drive/folders/1j9L8oBZXmaOQ0PzTDKoEtrX_qLU0c-GO" TargetMode="External"/><Relationship Id="rId84" Type="http://schemas.openxmlformats.org/officeDocument/2006/relationships/hyperlink" Target="https://docs.google.com/spreadsheets/d/18rTP3CkhSXunrWrUwlcu_6wTvGZuwbzCsW6CXR9McBA/edit?usp=drivesdk" TargetMode="External"/><Relationship Id="rId85" Type="http://schemas.openxmlformats.org/officeDocument/2006/relationships/hyperlink" Target="https://drive.google.com/drive/folders/1j9L8oBZXmaOQ0PzTDKoEtrX_qLU0c-GO" TargetMode="External"/><Relationship Id="rId86" Type="http://schemas.openxmlformats.org/officeDocument/2006/relationships/hyperlink" Target="https://docs.google.com/spreadsheets/d/1LZQISbA30mTolvZxaUH3FHtsvWoEWnQnZGi7GnodYhA/edit?usp=drivesdk" TargetMode="External"/><Relationship Id="rId87" Type="http://schemas.openxmlformats.org/officeDocument/2006/relationships/hyperlink" Target="https://drive.google.com/drive/folders/1j9L8oBZXmaOQ0PzTDKoEtrX_qLU0c-GO" TargetMode="External"/><Relationship Id="rId88" Type="http://schemas.openxmlformats.org/officeDocument/2006/relationships/hyperlink" Target="https://docs.google.com/spreadsheets/d/1dKBmrnfdxO9k5pBAHKr9ENSCsr1Z5RBRXReVJWH-xRI/edit?usp=drivesdk" TargetMode="External"/><Relationship Id="rId89" Type="http://schemas.openxmlformats.org/officeDocument/2006/relationships/hyperlink" Target="https://drive.google.com/drive/folders/1j9L8oBZXmaOQ0PzTDKoEtrX_qLU0c-GO" TargetMode="External"/><Relationship Id="rId90" Type="http://schemas.openxmlformats.org/officeDocument/2006/relationships/hyperlink" Target="http://alu.bue.edu.ar/" TargetMode="External"/><Relationship Id="rId91" Type="http://schemas.openxmlformats.org/officeDocument/2006/relationships/hyperlink" Target="https://docs.google.com/spreadsheets/d/1LT-S3YIi3MBVA8XCP1GUyRmd1UGorAMt9Qxt48BJ3-s/edit?usp=drivesdk" TargetMode="External"/><Relationship Id="rId92" Type="http://schemas.openxmlformats.org/officeDocument/2006/relationships/hyperlink" Target="https://drive.google.com/drive/folders/1UqRtQlIJ0R-JyUKW5QIHAqCa5kIZ1LC1" TargetMode="External"/><Relationship Id="rId93" Type="http://schemas.openxmlformats.org/officeDocument/2006/relationships/hyperlink" Target="https://docs.google.com/spreadsheets/d/1o12NOonwikVuemLTBjo6zqEv1MCOX0tXkHIC6u4E2mc/edit?usp=drivesdk" TargetMode="External"/><Relationship Id="rId94" Type="http://schemas.openxmlformats.org/officeDocument/2006/relationships/hyperlink" Target="https://drive.google.com/drive/folders/1UqRtQlIJ0R-JyUKW5QIHAqCa5kIZ1LC1" TargetMode="External"/><Relationship Id="rId95" Type="http://schemas.openxmlformats.org/officeDocument/2006/relationships/hyperlink" Target="https://docs.google.com/spreadsheets/d/1WragKSyLcRelRTxPz8BMV6-CJQxA9Ip4QniJ4VIF5V0/edit?usp=drivesdk" TargetMode="External"/><Relationship Id="rId96" Type="http://schemas.openxmlformats.org/officeDocument/2006/relationships/hyperlink" Target="https://drive.google.com/drive/folders/1UqRtQlIJ0R-JyUKW5QIHAqCa5kIZ1LC1" TargetMode="External"/><Relationship Id="rId97" Type="http://schemas.openxmlformats.org/officeDocument/2006/relationships/hyperlink" Target="https://docs.google.com/spreadsheets/d/1L5X09-5m7ehzFXIJH7G0H_aEjRcrcOlJi-HFK6pnZ4s/edit?usp=drivesdk" TargetMode="External"/><Relationship Id="rId98" Type="http://schemas.openxmlformats.org/officeDocument/2006/relationships/hyperlink" Target="https://drive.google.com/drive/folders/1UqRtQlIJ0R-JyUKW5QIHAqCa5kIZ1LC1" TargetMode="External"/><Relationship Id="rId99" Type="http://schemas.openxmlformats.org/officeDocument/2006/relationships/hyperlink" Target="https://docs.google.com/spreadsheets/d/1PgtWFCcj7tINMEAi2PQ7zpPPn0c9FXCI9ehRMZY3ci8/edit?usp=drivesdk" TargetMode="External"/><Relationship Id="rId100" Type="http://schemas.openxmlformats.org/officeDocument/2006/relationships/hyperlink" Target="https://drive.google.com/drive/folders/1UqRtQlIJ0R-JyUKW5QIHAqCa5kIZ1LC1" TargetMode="External"/><Relationship Id="rId101" Type="http://schemas.openxmlformats.org/officeDocument/2006/relationships/hyperlink" Target="https://docs.google.com/spreadsheets/d/1J26cxbK6XnljjUH7Uhn0p5gmeIxhDbHOTRluZ2RD1TI/edit?usp=drivesdk" TargetMode="External"/><Relationship Id="rId102" Type="http://schemas.openxmlformats.org/officeDocument/2006/relationships/hyperlink" Target="https://drive.google.com/drive/folders/1UqRtQlIJ0R-JyUKW5QIHAqCa5kIZ1LC1" TargetMode="External"/><Relationship Id="rId103" Type="http://schemas.openxmlformats.org/officeDocument/2006/relationships/hyperlink" Target="https://docs.google.com/spreadsheets/d/1-mQG9R7inD1mImn_pvVoDGnYC3TxBMbLWReTNMtJKs4/edit?usp=drivesdk" TargetMode="External"/><Relationship Id="rId104" Type="http://schemas.openxmlformats.org/officeDocument/2006/relationships/hyperlink" Target="https://drive.google.com/drive/folders/1UqRtQlIJ0R-JyUKW5QIHAqCa5kIZ1LC1" TargetMode="External"/><Relationship Id="rId105" Type="http://schemas.openxmlformats.org/officeDocument/2006/relationships/hyperlink" Target="https://docs.google.com/spreadsheets/d/19FT1mmDIPWFSNIHhRAsR4vgJX2CqroX2ODX-Vd9fxCY/edit?usp=drivesdk" TargetMode="External"/><Relationship Id="rId106" Type="http://schemas.openxmlformats.org/officeDocument/2006/relationships/hyperlink" Target="https://drive.google.com/drive/folders/1UqRtQlIJ0R-JyUKW5QIHAqCa5kIZ1LC1" TargetMode="External"/><Relationship Id="rId107" Type="http://schemas.openxmlformats.org/officeDocument/2006/relationships/hyperlink" Target="https://docs.google.com/spreadsheets/d/1RNOv1VEs5SURFUemHrZKl4hjsU7R_n0XeEVu4wtx8HI/edit?usp=drivesdk" TargetMode="External"/><Relationship Id="rId108" Type="http://schemas.openxmlformats.org/officeDocument/2006/relationships/hyperlink" Target="https://drive.google.com/drive/folders/1UqRtQlIJ0R-JyUKW5QIHAqCa5kIZ1LC1" TargetMode="External"/><Relationship Id="rId109" Type="http://schemas.openxmlformats.org/officeDocument/2006/relationships/hyperlink" Target="https://docs.google.com/spreadsheets/d/1nKtrBjKs4wMsSU-AQaDta2gyBmaFn_1V95-qF5suM4s/edit?usp=drivesdk" TargetMode="External"/><Relationship Id="rId110" Type="http://schemas.openxmlformats.org/officeDocument/2006/relationships/hyperlink" Target="https://drive.google.com/drive/folders/1R7iz0gmoqTmV-yQLqAg8jz1_Gw7aNA2a" TargetMode="External"/><Relationship Id="rId111" Type="http://schemas.openxmlformats.org/officeDocument/2006/relationships/hyperlink" Target="https://docs.google.com/spreadsheets/d/1hhX6rorC79xwu0AoxwPpKGpcW_GJJN41kSRzUTFgHB8/edit?usp=drivesdk" TargetMode="External"/><Relationship Id="rId112" Type="http://schemas.openxmlformats.org/officeDocument/2006/relationships/hyperlink" Target="https://drive.google.com/drive/folders/1R7iz0gmoqTmV-yQLqAg8jz1_Gw7aNA2a" TargetMode="External"/><Relationship Id="rId113" Type="http://schemas.openxmlformats.org/officeDocument/2006/relationships/hyperlink" Target="https://docs.google.com/spreadsheets/d/1DAzJa8BWgp1Z1-LT4_8CvHzVh1tNqxNraPNd8rgKywg/edit?usp=drivesdk" TargetMode="External"/><Relationship Id="rId114" Type="http://schemas.openxmlformats.org/officeDocument/2006/relationships/hyperlink" Target="https://drive.google.com/drive/folders/1R7iz0gmoqTmV-yQLqAg8jz1_Gw7aNA2a" TargetMode="External"/><Relationship Id="rId115" Type="http://schemas.openxmlformats.org/officeDocument/2006/relationships/hyperlink" Target="https://docs.google.com/spreadsheets/d/1y8ndrN4X7cs4Bxxx2zlXJeltYvYk2F-9D-Q0debMpCc/edit?usp=drivesdk" TargetMode="External"/><Relationship Id="rId116" Type="http://schemas.openxmlformats.org/officeDocument/2006/relationships/hyperlink" Target="https://drive.google.com/drive/folders/1R7iz0gmoqTmV-yQLqAg8jz1_Gw7aNA2a" TargetMode="External"/><Relationship Id="rId117" Type="http://schemas.openxmlformats.org/officeDocument/2006/relationships/hyperlink" Target="https://docs.google.com/spreadsheets/d/1mpUxsadui5jwFYIomqbX3-5dmKLZ3rcUMyMdhpkrxV8/edit?usp=drivesdk" TargetMode="External"/><Relationship Id="rId118" Type="http://schemas.openxmlformats.org/officeDocument/2006/relationships/hyperlink" Target="https://drive.google.com/drive/folders/1R7iz0gmoqTmV-yQLqAg8jz1_Gw7aNA2a" TargetMode="External"/><Relationship Id="rId119" Type="http://schemas.openxmlformats.org/officeDocument/2006/relationships/hyperlink" Target="https://docs.google.com/spreadsheets/d/1BwuJnlIRlJwaddDpPAX416LpnL0qusp3NMlq82uKhNU/edit?usp=drivesdk" TargetMode="External"/><Relationship Id="rId120" Type="http://schemas.openxmlformats.org/officeDocument/2006/relationships/hyperlink" Target="https://drive.google.com/drive/folders/1R7iz0gmoqTmV-yQLqAg8jz1_Gw7aNA2a" TargetMode="External"/><Relationship Id="rId121" Type="http://schemas.openxmlformats.org/officeDocument/2006/relationships/hyperlink" Target="https://docs.google.com/spreadsheets/d/1v5QlNo8jerRn-TXywgEGBXQrrPxpNTxR39lNvPYgxxE/edit?usp=drivesdk" TargetMode="External"/><Relationship Id="rId122" Type="http://schemas.openxmlformats.org/officeDocument/2006/relationships/hyperlink" Target="https://drive.google.com/drive/folders/1R7iz0gmoqTmV-yQLqAg8jz1_Gw7aNA2a" TargetMode="External"/><Relationship Id="rId123" Type="http://schemas.openxmlformats.org/officeDocument/2006/relationships/hyperlink" Target="https://docs.google.com/spreadsheets/d/11aCG5lOVtviES0zrhIRHod20fraY7aqRzVli3T2UdbE/edit?usp=drivesdk" TargetMode="External"/><Relationship Id="rId124" Type="http://schemas.openxmlformats.org/officeDocument/2006/relationships/hyperlink" Target="https://drive.google.com/drive/folders/1R7iz0gmoqTmV-yQLqAg8jz1_Gw7aNA2a" TargetMode="External"/><Relationship Id="rId125" Type="http://schemas.openxmlformats.org/officeDocument/2006/relationships/hyperlink" Target="https://docs.google.com/spreadsheets/d/1o6Xp4J9xovaP_KcTqpoQSkooYTGz36EkHn9tNAGPBnU/edit?usp=drivesdk" TargetMode="External"/><Relationship Id="rId126" Type="http://schemas.openxmlformats.org/officeDocument/2006/relationships/hyperlink" Target="https://drive.google.com/drive/folders/1R7iz0gmoqTmV-yQLqAg8jz1_Gw7aNA2a" TargetMode="External"/><Relationship Id="rId127" Type="http://schemas.openxmlformats.org/officeDocument/2006/relationships/hyperlink" Target="https://docs.google.com/spreadsheets/d/1ocqPMxZZ3mYyLKz1Lr-Vyy_XChZi30wM1bcpOevywwE/edit?usp=drivesdk" TargetMode="External"/><Relationship Id="rId128" Type="http://schemas.openxmlformats.org/officeDocument/2006/relationships/hyperlink" Target="https://drive.google.com/drive/folders/1R7iz0gmoqTmV-yQLqAg8jz1_Gw7aNA2a" TargetMode="External"/><Relationship Id="rId129" Type="http://schemas.openxmlformats.org/officeDocument/2006/relationships/hyperlink" Target="https://docs.google.com/spreadsheets/d/18u_sQWn4gHtDp-VejR6i_CNrgB97yXqOwYcMmp78rAY/edit?usp=drivesdk" TargetMode="External"/><Relationship Id="rId130" Type="http://schemas.openxmlformats.org/officeDocument/2006/relationships/hyperlink" Target="https://drive.google.com/drive/folders/1R7iz0gmoqTmV-yQLqAg8jz1_Gw7aNA2a" TargetMode="External"/><Relationship Id="rId131" Type="http://schemas.openxmlformats.org/officeDocument/2006/relationships/hyperlink" Target="https://docs.google.com/spreadsheets/d/1M55oM5TV13ow6dw0pTYiCmIYXUU3gvQc1STjoyRQASE/edit?usp=drivesdk" TargetMode="External"/><Relationship Id="rId132" Type="http://schemas.openxmlformats.org/officeDocument/2006/relationships/hyperlink" Target="https://drive.google.com/drive/folders/1R7iz0gmoqTmV-yQLqAg8jz1_Gw7aNA2a" TargetMode="External"/><Relationship Id="rId133" Type="http://schemas.openxmlformats.org/officeDocument/2006/relationships/hyperlink" Target="https://docs.google.com/spreadsheets/d/1IYGirkKcrlwyphkDeYML8bnzT0u3szpqGqm-QCrmFys/edit?usp=drivesdk" TargetMode="External"/><Relationship Id="rId134" Type="http://schemas.openxmlformats.org/officeDocument/2006/relationships/hyperlink" Target="https://drive.google.com/drive/folders/1R7iz0gmoqTmV-yQLqAg8jz1_Gw7aNA2a" TargetMode="External"/><Relationship Id="rId135" Type="http://schemas.openxmlformats.org/officeDocument/2006/relationships/hyperlink" Target="https://docs.google.com/spreadsheets/d/1kfAa8RTWdIpMMx2kx6S2UIBYRoYLdzfsybe7JF7aWR4/edit?usp=drivesdk" TargetMode="External"/><Relationship Id="rId136" Type="http://schemas.openxmlformats.org/officeDocument/2006/relationships/hyperlink" Target="https://drive.google.com/drive/folders/1R7iz0gmoqTmV-yQLqAg8jz1_Gw7aNA2a" TargetMode="External"/><Relationship Id="rId137" Type="http://schemas.openxmlformats.org/officeDocument/2006/relationships/hyperlink" Target="https://docs.google.com/spreadsheets/d/1c-vyhT2HAV2EWCsceBA6eSiKfqxlg3F0xfaQ9TLopvg/edit?usp=drivesdk" TargetMode="External"/><Relationship Id="rId138" Type="http://schemas.openxmlformats.org/officeDocument/2006/relationships/hyperlink" Target="https://drive.google.com/drive/folders/1R7iz0gmoqTmV-yQLqAg8jz1_Gw7aNA2a" TargetMode="External"/><Relationship Id="rId139" Type="http://schemas.openxmlformats.org/officeDocument/2006/relationships/hyperlink" Target="https://docs.google.com/spreadsheets/d/1_1Kted9fFyWsXmZghAv9Pinpuxy8HNqagGJbFd-DZGY/edit?usp=drivesdk" TargetMode="External"/><Relationship Id="rId140" Type="http://schemas.openxmlformats.org/officeDocument/2006/relationships/hyperlink" Target="https://drive.google.com/drive/folders/1R7iz0gmoqTmV-yQLqAg8jz1_Gw7aNA2a" TargetMode="External"/><Relationship Id="rId141" Type="http://schemas.openxmlformats.org/officeDocument/2006/relationships/hyperlink" Target="https://docs.google.com/spreadsheets/d/1mMb9Vw0MLIVSe87UAFOqmZuVG6dy_Mv2iwoqGX7XqSo/edit?usp=drivesdk" TargetMode="External"/><Relationship Id="rId142" Type="http://schemas.openxmlformats.org/officeDocument/2006/relationships/hyperlink" Target="https://drive.google.com/drive/folders/1R7iz0gmoqTmV-yQLqAg8jz1_Gw7aNA2a" TargetMode="External"/><Relationship Id="rId143" Type="http://schemas.openxmlformats.org/officeDocument/2006/relationships/hyperlink" Target="https://docs.google.com/spreadsheets/d/16abJ5d5d1rDzirjhX9IEDoAx1wnLZLoLaJ4SFc0Go30/edit?usp=drivesdk" TargetMode="External"/><Relationship Id="rId144" Type="http://schemas.openxmlformats.org/officeDocument/2006/relationships/hyperlink" Target="https://drive.google.com/drive/folders/1R7iz0gmoqTmV-yQLqAg8jz1_Gw7aNA2a" TargetMode="External"/><Relationship Id="rId145" Type="http://schemas.openxmlformats.org/officeDocument/2006/relationships/hyperlink" Target="https://docs.google.com/spreadsheets/d/1BFzKGIkqr9dc6ZZgXdH6Lc--n26fdGrRwFmBcoyjgU0/edit?usp=drivesdk" TargetMode="External"/><Relationship Id="rId146" Type="http://schemas.openxmlformats.org/officeDocument/2006/relationships/hyperlink" Target="https://drive.google.com/drive/folders/1R7iz0gmoqTmV-yQLqAg8jz1_Gw7aNA2a" TargetMode="External"/><Relationship Id="rId147" Type="http://schemas.openxmlformats.org/officeDocument/2006/relationships/hyperlink" Target="https://docs.google.com/spreadsheets/d/14GnpgktZOrtj77McInvVYER_9vm0lqof-Dtfy7rSOqA/edit?usp=drivesdk" TargetMode="External"/><Relationship Id="rId148" Type="http://schemas.openxmlformats.org/officeDocument/2006/relationships/hyperlink" Target="https://drive.google.com/drive/folders/1R7iz0gmoqTmV-yQLqAg8jz1_Gw7aNA2a" TargetMode="External"/><Relationship Id="rId149" Type="http://schemas.openxmlformats.org/officeDocument/2006/relationships/hyperlink" Target="https://docs.google.com/spreadsheets/d/1MdZflEylcAYeHqmg1XlkHR3pf4KOTQu-IL7PyXxgfcM/edit?usp=drivesdk" TargetMode="External"/><Relationship Id="rId150" Type="http://schemas.openxmlformats.org/officeDocument/2006/relationships/hyperlink" Target="https://drive.google.com/drive/folders/1R7iz0gmoqTmV-yQLqAg8jz1_Gw7aNA2a" TargetMode="External"/><Relationship Id="rId151" Type="http://schemas.openxmlformats.org/officeDocument/2006/relationships/hyperlink" Target="https://docs.google.com/spreadsheets/d/13Mm3PafKGTh1fQmmTWk9MhpOvCGmaXjjL5HsuGi_nUQ/edit?usp=drivesdk" TargetMode="External"/><Relationship Id="rId152" Type="http://schemas.openxmlformats.org/officeDocument/2006/relationships/hyperlink" Target="https://drive.google.com/drive/folders/1R7iz0gmoqTmV-yQLqAg8jz1_Gw7aNA2a" TargetMode="External"/><Relationship Id="rId153" Type="http://schemas.openxmlformats.org/officeDocument/2006/relationships/hyperlink" Target="https://docs.google.com/spreadsheets/d/1B-Gfkctr7ma58cOEe06HkBjpXjt2AfcR6XNaelWpdq0/edit?usp=drivesdk" TargetMode="External"/><Relationship Id="rId154" Type="http://schemas.openxmlformats.org/officeDocument/2006/relationships/hyperlink" Target="https://drive.google.com/drive/folders/1R7iz0gmoqTmV-yQLqAg8jz1_Gw7aNA2a" TargetMode="External"/><Relationship Id="rId155" Type="http://schemas.openxmlformats.org/officeDocument/2006/relationships/hyperlink" Target="https://docs.google.com/spreadsheets/d/1ZCCpJQLliQsfMFXavdPj5VhZ613YoN7E028MPSvJkRI/edit?usp=drivesdk" TargetMode="External"/><Relationship Id="rId156" Type="http://schemas.openxmlformats.org/officeDocument/2006/relationships/hyperlink" Target="https://drive.google.com/drive/folders/1R7iz0gmoqTmV-yQLqAg8jz1_Gw7aNA2a" TargetMode="External"/><Relationship Id="rId157" Type="http://schemas.openxmlformats.org/officeDocument/2006/relationships/hyperlink" Target="https://docs.google.com/spreadsheets/d/1XkGw5UbLWTL9o8PspV8CLid2zyTcKnmyeOZT9lbUCx8/edit?usp=drivesdk" TargetMode="External"/><Relationship Id="rId158" Type="http://schemas.openxmlformats.org/officeDocument/2006/relationships/hyperlink" Target="https://drive.google.com/drive/folders/1R7iz0gmoqTmV-yQLqAg8jz1_Gw7aNA2a" TargetMode="External"/><Relationship Id="rId159" Type="http://schemas.openxmlformats.org/officeDocument/2006/relationships/hyperlink" Target="https://docs.google.com/spreadsheets/d/1pDTlyQMouak7Jm3IhNeiGsnPv1jIhtt2yCcA5Vu1_eU/edit?usp=drivesdk" TargetMode="External"/><Relationship Id="rId160" Type="http://schemas.openxmlformats.org/officeDocument/2006/relationships/hyperlink" Target="https://drive.google.com/drive/folders/1R7iz0gmoqTmV-yQLqAg8jz1_Gw7aNA2a" TargetMode="External"/><Relationship Id="rId161" Type="http://schemas.openxmlformats.org/officeDocument/2006/relationships/hyperlink" Target="https://docs.google.com/spreadsheets/d/1prdAs1Z-QMLP0NE2rTcOqcn5lq3ZA7LCZnN_WgwNkdQ/edit?usp=drivesdk" TargetMode="External"/><Relationship Id="rId162" Type="http://schemas.openxmlformats.org/officeDocument/2006/relationships/hyperlink" Target="https://drive.google.com/drive/folders/1R7iz0gmoqTmV-yQLqAg8jz1_Gw7aNA2a" TargetMode="External"/><Relationship Id="rId163" Type="http://schemas.openxmlformats.org/officeDocument/2006/relationships/hyperlink" Target="https://docs.google.com/spreadsheets/d/1tZhMOLwxk8TO6ZuLk1m6MH5jZFR9hPkET5xp5ynImjg/edit?usp=drivesdk" TargetMode="External"/><Relationship Id="rId164" Type="http://schemas.openxmlformats.org/officeDocument/2006/relationships/hyperlink" Target="https://drive.google.com/drive/folders/1R7iz0gmoqTmV-yQLqAg8jz1_Gw7aNA2a" TargetMode="External"/><Relationship Id="rId165" Type="http://schemas.openxmlformats.org/officeDocument/2006/relationships/hyperlink" Target="https://docs.google.com/spreadsheets/d/1c1o1BGuQDyExdOadBcYIFs8tk347ZP-qsKRY8Xxr9oY/edit?usp=drivesdk" TargetMode="External"/><Relationship Id="rId166" Type="http://schemas.openxmlformats.org/officeDocument/2006/relationships/hyperlink" Target="https://drive.google.com/drive/folders/1R7iz0gmoqTmV-yQLqAg8jz1_Gw7aNA2a" TargetMode="External"/><Relationship Id="rId167" Type="http://schemas.openxmlformats.org/officeDocument/2006/relationships/hyperlink" Target="https://docs.google.com/spreadsheets/d/1riOvmmKR60sw4SNx9NBdm1lGzrLYEpD6bBHBY5K28j4/edit?usp=drivesdk" TargetMode="External"/><Relationship Id="rId168" Type="http://schemas.openxmlformats.org/officeDocument/2006/relationships/hyperlink" Target="https://drive.google.com/drive/folders/1R7iz0gmoqTmV-yQLqAg8jz1_Gw7aNA2a" TargetMode="External"/><Relationship Id="rId169" Type="http://schemas.openxmlformats.org/officeDocument/2006/relationships/hyperlink" Target="https://docs.google.com/spreadsheets/d/10ZjcDRoFNVtQzow5No46SfLwfHRPiFoMESPvYAJarlU/edit?usp=drivesdk" TargetMode="External"/><Relationship Id="rId170" Type="http://schemas.openxmlformats.org/officeDocument/2006/relationships/hyperlink" Target="https://drive.google.com/drive/folders/1R7iz0gmoqTmV-yQLqAg8jz1_Gw7aNA2a" TargetMode="External"/><Relationship Id="rId171" Type="http://schemas.openxmlformats.org/officeDocument/2006/relationships/hyperlink" Target="https://docs.google.com/spreadsheets/d/1stmjHyzqBGGnHzYNZY322FyFVBaYa2AUwz_u-owOasM/edit?usp=drivesdk" TargetMode="External"/><Relationship Id="rId172" Type="http://schemas.openxmlformats.org/officeDocument/2006/relationships/hyperlink" Target="https://drive.google.com/drive/folders/1R7iz0gmoqTmV-yQLqAg8jz1_Gw7aNA2a" TargetMode="External"/><Relationship Id="rId173" Type="http://schemas.openxmlformats.org/officeDocument/2006/relationships/hyperlink" Target="https://docs.google.com/spreadsheets/d/1gXx12hPPRc0NMeE6D9a-1mHHqnaTyYMUztVTE1FV8Is/edit?usp=drivesdk" TargetMode="External"/><Relationship Id="rId174" Type="http://schemas.openxmlformats.org/officeDocument/2006/relationships/hyperlink" Target="https://drive.google.com/drive/folders/1R7iz0gmoqTmV-yQLqAg8jz1_Gw7aNA2a" TargetMode="External"/><Relationship Id="rId175" Type="http://schemas.openxmlformats.org/officeDocument/2006/relationships/hyperlink" Target="https://docs.google.com/spreadsheets/d/1d_kYHhKUi-n82uiDK_uSM9UkAwTqxuj6QHXMxvKIjXo/edit?usp=drivesdk" TargetMode="External"/><Relationship Id="rId176" Type="http://schemas.openxmlformats.org/officeDocument/2006/relationships/hyperlink" Target="https://drive.google.com/drive/folders/1R7iz0gmoqTmV-yQLqAg8jz1_Gw7aNA2a" TargetMode="External"/><Relationship Id="rId177" Type="http://schemas.openxmlformats.org/officeDocument/2006/relationships/hyperlink" Target="https://docs.google.com/spreadsheets/d/1SnXXuIz5Ns1yarW5s7eq6b9B3FNgAS5GHDstiEF5laU/edit?usp=drivesdk" TargetMode="External"/><Relationship Id="rId178" Type="http://schemas.openxmlformats.org/officeDocument/2006/relationships/hyperlink" Target="https://drive.google.com/drive/folders/1WC5X0pwLkl0kQePreUDIjA8A1r_BKxAL" TargetMode="External"/><Relationship Id="rId179" Type="http://schemas.openxmlformats.org/officeDocument/2006/relationships/hyperlink" Target="https://docs.google.com/spreadsheets/d/127f5q7YUCKtVpGlZe_4GrqGrSGax1s2ojbUhILotfeg/edit?usp=drivesdk" TargetMode="External"/><Relationship Id="rId180" Type="http://schemas.openxmlformats.org/officeDocument/2006/relationships/hyperlink" Target="https://drive.google.com/drive/folders/1WC5X0pwLkl0kQePreUDIjA8A1r_BKxAL" TargetMode="External"/><Relationship Id="rId181" Type="http://schemas.openxmlformats.org/officeDocument/2006/relationships/hyperlink" Target="https://docs.google.com/spreadsheets/d/1OduXZ9483Fs8Doynyc28E4-rtLYUseY2dYhmjMfHRPQ/edit?usp=drivesdk" TargetMode="External"/><Relationship Id="rId182" Type="http://schemas.openxmlformats.org/officeDocument/2006/relationships/hyperlink" Target="https://drive.google.com/drive/folders/1WC5X0pwLkl0kQePreUDIjA8A1r_BKxAL" TargetMode="External"/><Relationship Id="rId183" Type="http://schemas.openxmlformats.org/officeDocument/2006/relationships/hyperlink" Target="https://docs.google.com/spreadsheets/d/1C4TVQUsApUoqOmvWi204o_KZM4Y8pp2Q7hxhGsGMMW0/edit?usp=drivesdk" TargetMode="External"/><Relationship Id="rId184" Type="http://schemas.openxmlformats.org/officeDocument/2006/relationships/hyperlink" Target="https://drive.google.com/drive/folders/1xo3JI8FBV3Q9_v4mXivLAOzjnGI1gIeg" TargetMode="External"/><Relationship Id="rId185" Type="http://schemas.openxmlformats.org/officeDocument/2006/relationships/hyperlink" Target="https://docs.google.com/spreadsheets/d/19H0IezNXqv7Kg3ziJpSK1COSH0WWBAwUTua8fY0pGOA/edit?usp=drivesdk" TargetMode="External"/><Relationship Id="rId186" Type="http://schemas.openxmlformats.org/officeDocument/2006/relationships/hyperlink" Target="https://drive.google.com/drive/folders/1xo3JI8FBV3Q9_v4mXivLAOzjnGI1gIeg" TargetMode="External"/><Relationship Id="rId187" Type="http://schemas.openxmlformats.org/officeDocument/2006/relationships/hyperlink" Target="https://docs.google.com/spreadsheets/d/1c_7Hy6JLUVsvj9on3mYrF_rCNdF2yYKGyqZCYP6aJlg/edit?usp=drivesdk" TargetMode="External"/><Relationship Id="rId188" Type="http://schemas.openxmlformats.org/officeDocument/2006/relationships/hyperlink" Target="https://drive.google.com/drive/folders/1xo3JI8FBV3Q9_v4mXivLAOzjnGI1gIeg" TargetMode="External"/><Relationship Id="rId189" Type="http://schemas.openxmlformats.org/officeDocument/2006/relationships/hyperlink" Target="https://docs.google.com/spreadsheets/d/1D4uKUG52M-cnbMRy8Ruz__9gQQpAWVQ1D_z5z-rrq4o/edit?usp=drivesdk" TargetMode="External"/><Relationship Id="rId190" Type="http://schemas.openxmlformats.org/officeDocument/2006/relationships/hyperlink" Target="https://drive.google.com/drive/folders/1xo3JI8FBV3Q9_v4mXivLAOzjnGI1gIeg" TargetMode="External"/><Relationship Id="rId191" Type="http://schemas.openxmlformats.org/officeDocument/2006/relationships/hyperlink" Target="https://docs.google.com/spreadsheets/d/129r5lQHIOPwPSygNLUmSV93yVbGhqksNJaHF1V1X5g0/edit?usp=drivesdk" TargetMode="External"/><Relationship Id="rId192" Type="http://schemas.openxmlformats.org/officeDocument/2006/relationships/hyperlink" Target="https://drive.google.com/drive/folders/1xo3JI8FBV3Q9_v4mXivLAOzjnGI1gIeg" TargetMode="External"/><Relationship Id="rId193" Type="http://schemas.openxmlformats.org/officeDocument/2006/relationships/hyperlink" Target="https://docs.google.com/spreadsheets/d/1lu7ryc384gdnuZwVpuoLL9SVwDBcHVg7zRAQCWpB8LQ/edit?usp=drivesdk" TargetMode="External"/><Relationship Id="rId194" Type="http://schemas.openxmlformats.org/officeDocument/2006/relationships/hyperlink" Target="https://drive.google.com/drive/folders/1xo3JI8FBV3Q9_v4mXivLAOzjnGI1gIeg" TargetMode="External"/><Relationship Id="rId195" Type="http://schemas.openxmlformats.org/officeDocument/2006/relationships/hyperlink" Target="https://docs.google.com/spreadsheets/d/1W3FjyAt87UkG4NWC6Hk1QmZb1NRhrDPwSZg-s-uE5fQ/edit?usp=drivesdk" TargetMode="External"/><Relationship Id="rId196" Type="http://schemas.openxmlformats.org/officeDocument/2006/relationships/hyperlink" Target="https://drive.google.com/drive/folders/1xo3JI8FBV3Q9_v4mXivLAOzjnGI1gIeg" TargetMode="External"/><Relationship Id="rId197" Type="http://schemas.openxmlformats.org/officeDocument/2006/relationships/hyperlink" Target="https://docs.google.com/spreadsheets/d/1muvzbenR-7F3vVxwWBSKxJLUmhmEUwcMHNph3oCNP58/edit?usp=drivesdk" TargetMode="External"/><Relationship Id="rId198" Type="http://schemas.openxmlformats.org/officeDocument/2006/relationships/hyperlink" Target="https://drive.google.com/drive/folders/1xo3JI8FBV3Q9_v4mXivLAOzjnGI1gIeg" TargetMode="External"/><Relationship Id="rId199" Type="http://schemas.openxmlformats.org/officeDocument/2006/relationships/hyperlink" Target="http://alu.bue.edu.ar/" TargetMode="External"/><Relationship Id="rId200" Type="http://schemas.openxmlformats.org/officeDocument/2006/relationships/hyperlink" Target="https://docs.google.com/spreadsheets/d/1PBzi5AO-txd0Ntz3zuQx8IBrj1n9eu1qgkJB3sf7nyk/edit?usp=drivesdk" TargetMode="External"/><Relationship Id="rId201" Type="http://schemas.openxmlformats.org/officeDocument/2006/relationships/hyperlink" Target="https://drive.google.com/drive/folders/1xo3JI8FBV3Q9_v4mXivLAOzjnGI1gIeg" TargetMode="External"/><Relationship Id="rId202" Type="http://schemas.openxmlformats.org/officeDocument/2006/relationships/hyperlink" Target="https://docs.google.com/spreadsheets/d/1c-oi87na8wP51MI_5ebK0Fo3Iy1khv90BUafFZRjphE/edit?usp=drivesdk" TargetMode="External"/><Relationship Id="rId203" Type="http://schemas.openxmlformats.org/officeDocument/2006/relationships/hyperlink" Target="https://drive.google.com/drive/folders/1xo3JI8FBV3Q9_v4mXivLAOzjnGI1gIeg" TargetMode="External"/><Relationship Id="rId204" Type="http://schemas.openxmlformats.org/officeDocument/2006/relationships/hyperlink" Target="https://docs.google.com/spreadsheets/d/1yYPPyM3xYvVF9bgFOSGh5q-_uZgHSCatSysCsHHnSK8/edit?usp=drivesdk" TargetMode="External"/><Relationship Id="rId205" Type="http://schemas.openxmlformats.org/officeDocument/2006/relationships/hyperlink" Target="https://drive.google.com/drive/folders/1xo3JI8FBV3Q9_v4mXivLAOzjnGI1gIeg" TargetMode="External"/><Relationship Id="rId206" Type="http://schemas.openxmlformats.org/officeDocument/2006/relationships/hyperlink" Target="https://docs.google.com/spreadsheets/d/1TKPGFMkf6jp0P_o4mv7usObH1LvCxXjcT6sgV_GAPgA/edit?usp=drivesdk" TargetMode="External"/><Relationship Id="rId207" Type="http://schemas.openxmlformats.org/officeDocument/2006/relationships/hyperlink" Target="https://drive.google.com/drive/folders/1xo3JI8FBV3Q9_v4mXivLAOzjnGI1gIeg" TargetMode="External"/><Relationship Id="rId208" Type="http://schemas.openxmlformats.org/officeDocument/2006/relationships/hyperlink" Target="https://docs.google.com/spreadsheets/d/1s2aElS9i0JOC1xi7rvU3f4q8NweDJ_CXhRK0M1yESR0/edit?usp=drivesdk" TargetMode="External"/><Relationship Id="rId209" Type="http://schemas.openxmlformats.org/officeDocument/2006/relationships/hyperlink" Target="https://drive.google.com/drive/folders/1xo3JI8FBV3Q9_v4mXivLAOzjnGI1gIeg" TargetMode="External"/><Relationship Id="rId210" Type="http://schemas.openxmlformats.org/officeDocument/2006/relationships/hyperlink" Target="https://docs.google.com/spreadsheets/d/1-jvFfiMlCj_nxxLP85NLSCI_dAUbpkjTBsipop4VqiI/edit?usp=drivesdk" TargetMode="External"/><Relationship Id="rId211" Type="http://schemas.openxmlformats.org/officeDocument/2006/relationships/hyperlink" Target="https://drive.google.com/drive/folders/1xo3JI8FBV3Q9_v4mXivLAOzjnGI1gIeg" TargetMode="External"/><Relationship Id="rId212" Type="http://schemas.openxmlformats.org/officeDocument/2006/relationships/hyperlink" Target="https://docs.google.com/spreadsheets/d/1F87Tf91_Iqtp2kT6A52HdT8lfmFyEQSezfDyOK87k4Y/edit?usp=drivesdk" TargetMode="External"/><Relationship Id="rId213" Type="http://schemas.openxmlformats.org/officeDocument/2006/relationships/hyperlink" Target="https://drive.google.com/drive/folders/1xo3JI8FBV3Q9_v4mXivLAOzjnGI1gIeg" TargetMode="External"/><Relationship Id="rId214" Type="http://schemas.openxmlformats.org/officeDocument/2006/relationships/hyperlink" Target="https://docs.google.com/spreadsheets/d/1-JtGdnnVBLgm1HgdrGvwIe9q8SPmXCM3rrRfFmvFzUg/edit?usp=drivesdk" TargetMode="External"/><Relationship Id="rId215" Type="http://schemas.openxmlformats.org/officeDocument/2006/relationships/hyperlink" Target="https://drive.google.com/drive/folders/1xo3JI8FBV3Q9_v4mXivLAOzjnGI1gIeg" TargetMode="External"/><Relationship Id="rId216" Type="http://schemas.openxmlformats.org/officeDocument/2006/relationships/hyperlink" Target="https://docs.google.com/spreadsheets/d/1uzienf5GSN-CzeUzdl7fIF8ElS3sYfK6JSu4tncPem0/edit?usp=drivesdk" TargetMode="External"/><Relationship Id="rId217" Type="http://schemas.openxmlformats.org/officeDocument/2006/relationships/hyperlink" Target="https://drive.google.com/drive/folders/1xo3JI8FBV3Q9_v4mXivLAOzjnGI1gIeg" TargetMode="External"/><Relationship Id="rId218" Type="http://schemas.openxmlformats.org/officeDocument/2006/relationships/hyperlink" Target="https://docs.google.com/spreadsheets/d/1TSceizLY75wgQIa4D7TMx-CXbq4qQ170juG9a3nfwxc/edit?usp=drivesdk" TargetMode="External"/><Relationship Id="rId219" Type="http://schemas.openxmlformats.org/officeDocument/2006/relationships/hyperlink" Target="https://drive.google.com/drive/folders/1xo3JI8FBV3Q9_v4mXivLAOzjnGI1gIeg" TargetMode="External"/><Relationship Id="rId220" Type="http://schemas.openxmlformats.org/officeDocument/2006/relationships/hyperlink" Target="https://docs.google.com/spreadsheets/d/1b_5NYHw5y-pBTXstsuv2qQ172BlFqm9n7Kd6DUjCsks/edit?usp=drivesdk" TargetMode="External"/><Relationship Id="rId221" Type="http://schemas.openxmlformats.org/officeDocument/2006/relationships/hyperlink" Target="https://drive.google.com/drive/folders/1xo3JI8FBV3Q9_v4mXivLAOzjnGI1gIeg" TargetMode="External"/><Relationship Id="rId222" Type="http://schemas.openxmlformats.org/officeDocument/2006/relationships/hyperlink" Target="https://docs.google.com/spreadsheets/d/1fHXc1bNW__mA9U5mZOojkhpbys_xFd_dCEXaOHqzK9U/edit?usp=drivesdk" TargetMode="External"/><Relationship Id="rId223" Type="http://schemas.openxmlformats.org/officeDocument/2006/relationships/hyperlink" Target="https://drive.google.com/drive/folders/1xo3JI8FBV3Q9_v4mXivLAOzjnGI1gIeg" TargetMode="External"/><Relationship Id="rId224" Type="http://schemas.openxmlformats.org/officeDocument/2006/relationships/hyperlink" Target="https://docs.google.com/spreadsheets/d/1i4Zez9iHUkqg1HvjwXi5Ees7MLhV4yL8pQaBvLg9NYc/edit?usp=drivesdk" TargetMode="External"/><Relationship Id="rId225" Type="http://schemas.openxmlformats.org/officeDocument/2006/relationships/hyperlink" Target="https://drive.google.com/drive/folders/1xo3JI8FBV3Q9_v4mXivLAOzjnGI1gIeg" TargetMode="External"/><Relationship Id="rId226" Type="http://schemas.openxmlformats.org/officeDocument/2006/relationships/hyperlink" Target="http://a.biancoqbue.edu.ar/" TargetMode="External"/><Relationship Id="rId227" Type="http://schemas.openxmlformats.org/officeDocument/2006/relationships/hyperlink" Target="https://docs.google.com/spreadsheets/d/1DhIFJ6SlT95Zqa_mQ6e8Ugz1Ez5cFZ01EbxHdjlxPCI/edit?usp=drivesdk" TargetMode="External"/><Relationship Id="rId228" Type="http://schemas.openxmlformats.org/officeDocument/2006/relationships/hyperlink" Target="https://drive.google.com/drive/folders/1xo3JI8FBV3Q9_v4mXivLAOzjnGI1gIeg" TargetMode="External"/><Relationship Id="rId229" Type="http://schemas.openxmlformats.org/officeDocument/2006/relationships/hyperlink" Target="https://docs.google.com/spreadsheets/d/1_DX7U8380aPWL4OhgYFnXX6mk5xIKabW6S5cQPae2Xk/edit?usp=drivesdk" TargetMode="External"/><Relationship Id="rId230" Type="http://schemas.openxmlformats.org/officeDocument/2006/relationships/hyperlink" Target="https://drive.google.com/drive/folders/1xo3JI8FBV3Q9_v4mXivLAOzjnGI1gIeg" TargetMode="External"/><Relationship Id="rId231" Type="http://schemas.openxmlformats.org/officeDocument/2006/relationships/hyperlink" Target="https://docs.google.com/spreadsheets/d/1IbmSt7SK5GdBSzeKdi7zTxqBCzrxlwKfhUV09B0zNy8/edit?usp=drivesdk" TargetMode="External"/><Relationship Id="rId232" Type="http://schemas.openxmlformats.org/officeDocument/2006/relationships/hyperlink" Target="https://drive.google.com/drive/folders/1xo3JI8FBV3Q9_v4mXivLAOzjnGI1gIeg" TargetMode="External"/><Relationship Id="rId233" Type="http://schemas.openxmlformats.org/officeDocument/2006/relationships/hyperlink" Target="https://docs.google.com/spreadsheets/d/1oUFJ0bRBfoeHV28g1TfMqk-ruygqCGZvJ0pfaEupNOE/edit?usp=drivesdk" TargetMode="External"/><Relationship Id="rId234" Type="http://schemas.openxmlformats.org/officeDocument/2006/relationships/hyperlink" Target="https://drive.google.com/drive/folders/1xo3JI8FBV3Q9_v4mXivLAOzjnGI1gIeg" TargetMode="External"/><Relationship Id="rId235" Type="http://schemas.openxmlformats.org/officeDocument/2006/relationships/hyperlink" Target="https://docs.google.com/spreadsheets/d/1TPQytnC51B_XFysI4pDeCVmodRU31YLmFquI_g8e9iU/edit?usp=drivesdk" TargetMode="External"/><Relationship Id="rId236" Type="http://schemas.openxmlformats.org/officeDocument/2006/relationships/hyperlink" Target="https://drive.google.com/drive/folders/1xo3JI8FBV3Q9_v4mXivLAOzjnGI1gIeg" TargetMode="External"/><Relationship Id="rId237" Type="http://schemas.openxmlformats.org/officeDocument/2006/relationships/hyperlink" Target="https://docs.google.com/spreadsheets/d/1Y-_aDL7ykrRUyt_6Q8IGGBPgskC0KTQKGG4L7206zN8/edit?usp=drivesdk" TargetMode="External"/><Relationship Id="rId238" Type="http://schemas.openxmlformats.org/officeDocument/2006/relationships/hyperlink" Target="https://drive.google.com/drive/folders/1xo3JI8FBV3Q9_v4mXivLAOzjnGI1gIeg" TargetMode="External"/><Relationship Id="rId239" Type="http://schemas.openxmlformats.org/officeDocument/2006/relationships/hyperlink" Target="https://docs.google.com/spreadsheets/d/1kbBXmYJEM0VUvqHe8sVQt6FnG6ZqD9dJCJosmrW0m0M/edit?usp=drivesdk" TargetMode="External"/><Relationship Id="rId240" Type="http://schemas.openxmlformats.org/officeDocument/2006/relationships/hyperlink" Target="https://drive.google.com/drive/folders/1xo3JI8FBV3Q9_v4mXivLAOzjnGI1gIeg" TargetMode="External"/><Relationship Id="rId241" Type="http://schemas.openxmlformats.org/officeDocument/2006/relationships/hyperlink" Target="https://docs.google.com/spreadsheets/d/1s8Vh-xM9gR2ezn0O2RIWXgdEfJ4Wmek8e30rD_2AOnk/edit?usp=drivesdk" TargetMode="External"/><Relationship Id="rId242" Type="http://schemas.openxmlformats.org/officeDocument/2006/relationships/hyperlink" Target="https://drive.google.com/drive/folders/1xo3JI8FBV3Q9_v4mXivLAOzjnGI1gIeg" TargetMode="External"/><Relationship Id="rId243" Type="http://schemas.openxmlformats.org/officeDocument/2006/relationships/hyperlink" Target="https://docs.google.com/spreadsheets/d/1pfo_6BxuBTiTp4tJ0_BIvDi1EdIs-FrSletCJw0G-nU/edit?usp=drivesdk" TargetMode="External"/><Relationship Id="rId244" Type="http://schemas.openxmlformats.org/officeDocument/2006/relationships/hyperlink" Target="https://drive.google.com/drive/folders/1xo3JI8FBV3Q9_v4mXivLAOzjnGI1gIeg" TargetMode="External"/><Relationship Id="rId245" Type="http://schemas.openxmlformats.org/officeDocument/2006/relationships/hyperlink" Target="https://docs.google.com/spreadsheets/d/1bgsBIwGgTuYo7ckng55n11_3mFQz_8xkb-1IL-OgEmo/edit?usp=drivesdk" TargetMode="External"/><Relationship Id="rId246" Type="http://schemas.openxmlformats.org/officeDocument/2006/relationships/hyperlink" Target="https://drive.google.com/drive/folders/1xo3JI8FBV3Q9_v4mXivLAOzjnGI1gIeg" TargetMode="External"/><Relationship Id="rId247" Type="http://schemas.openxmlformats.org/officeDocument/2006/relationships/hyperlink" Target="https://docs.google.com/spreadsheets/d/1Kk1H06h97RbSv4aukoVtZDk23JL3ut9zAuSznhIBeNI/edit?usp=drivesdk" TargetMode="External"/><Relationship Id="rId248" Type="http://schemas.openxmlformats.org/officeDocument/2006/relationships/hyperlink" Target="https://drive.google.com/drive/folders/1xo3JI8FBV3Q9_v4mXivLAOzjnGI1gIeg" TargetMode="External"/><Relationship Id="rId249" Type="http://schemas.openxmlformats.org/officeDocument/2006/relationships/hyperlink" Target="https://docs.google.com/spreadsheets/d/1ra2BE4B6j1EVmRA1nULOXZJ7eCml7CDvzyhbcPR61eg/edit?usp=drivesdk" TargetMode="External"/><Relationship Id="rId250" Type="http://schemas.openxmlformats.org/officeDocument/2006/relationships/hyperlink" Target="https://drive.google.com/drive/folders/1xo3JI8FBV3Q9_v4mXivLAOzjnGI1gIeg" TargetMode="External"/><Relationship Id="rId251" Type="http://schemas.openxmlformats.org/officeDocument/2006/relationships/hyperlink" Target="https://docs.google.com/spreadsheets/d/1LhfPpNTiBvTakEM8KaNr4t0yt8fIBpScTFwdNJIIolw/edit?usp=drivesdk" TargetMode="External"/><Relationship Id="rId252" Type="http://schemas.openxmlformats.org/officeDocument/2006/relationships/hyperlink" Target="https://drive.google.com/drive/folders/1xo3JI8FBV3Q9_v4mXivLAOzjnGI1gIeg" TargetMode="External"/><Relationship Id="rId253" Type="http://schemas.openxmlformats.org/officeDocument/2006/relationships/hyperlink" Target="https://docs.google.com/spreadsheets/d/1Ek04S6ByZ3KGI4Xla_kA6kSIPgp5unKentIjZxxiknk/edit?usp=drivesdk" TargetMode="External"/><Relationship Id="rId254" Type="http://schemas.openxmlformats.org/officeDocument/2006/relationships/hyperlink" Target="https://drive.google.com/drive/folders/1xo3JI8FBV3Q9_v4mXivLAOzjnGI1gIeg" TargetMode="External"/><Relationship Id="rId255" Type="http://schemas.openxmlformats.org/officeDocument/2006/relationships/hyperlink" Target="https://docs.google.com/spreadsheets/d/1OVTPeFvCb2bU3hb6oLBwX3eCz4Qchvj1YiRKioE4Dsk/edit?usp=drivesdk" TargetMode="External"/><Relationship Id="rId256" Type="http://schemas.openxmlformats.org/officeDocument/2006/relationships/hyperlink" Target="https://drive.google.com/drive/folders/1xo3JI8FBV3Q9_v4mXivLAOzjnGI1gIeg" TargetMode="External"/><Relationship Id="rId257" Type="http://schemas.openxmlformats.org/officeDocument/2006/relationships/hyperlink" Target="https://docs.google.com/spreadsheets/d/1o9wZCp3uZ1u_vlz74B4u0lGSrFF8EW_MKIKX8AjfnVE/edit?usp=drivesdk" TargetMode="External"/><Relationship Id="rId258" Type="http://schemas.openxmlformats.org/officeDocument/2006/relationships/hyperlink" Target="https://drive.google.com/drive/folders/1xo3JI8FBV3Q9_v4mXivLAOzjnGI1gIeg" TargetMode="External"/><Relationship Id="rId259" Type="http://schemas.openxmlformats.org/officeDocument/2006/relationships/hyperlink" Target="https://docs.google.com/spreadsheets/d/1vScHdoQOqnE2F9-hk1VnAMe1MsoREjDt9dqsrlXgHcQ/edit?usp=drivesdk" TargetMode="External"/><Relationship Id="rId260" Type="http://schemas.openxmlformats.org/officeDocument/2006/relationships/hyperlink" Target="https://drive.google.com/drive/folders/1xo3JI8FBV3Q9_v4mXivLAOzjnGI1gIeg" TargetMode="External"/><Relationship Id="rId261" Type="http://schemas.openxmlformats.org/officeDocument/2006/relationships/hyperlink" Target="https://docs.google.com/spreadsheets/d/1J4OOdZWR2nZxyZldsBsv-XKfiXHSiIJdSu5ZCJY3Pcw/edit?usp=drivesdk" TargetMode="External"/><Relationship Id="rId262" Type="http://schemas.openxmlformats.org/officeDocument/2006/relationships/hyperlink" Target="https://drive.google.com/drive/folders/1xo3JI8FBV3Q9_v4mXivLAOzjnGI1gIeg" TargetMode="External"/><Relationship Id="rId263" Type="http://schemas.openxmlformats.org/officeDocument/2006/relationships/hyperlink" Target="https://docs.google.com/spreadsheets/d/1UBmOsAAyjgogNY9pGyRLnJNiWD74Gc4Q3EQ8hHZuiJk/edit?usp=drivesdk" TargetMode="External"/><Relationship Id="rId264" Type="http://schemas.openxmlformats.org/officeDocument/2006/relationships/hyperlink" Target="https://drive.google.com/drive/folders/1xo3JI8FBV3Q9_v4mXivLAOzjnGI1gIeg" TargetMode="External"/><Relationship Id="rId265" Type="http://schemas.openxmlformats.org/officeDocument/2006/relationships/hyperlink" Target="https://docs.google.com/spreadsheets/d/12tu-w7JcXSbvjIRgFbrb0A28E3yPmV15rXbLHtStJ48/edit?usp=drivesdk" TargetMode="External"/><Relationship Id="rId266" Type="http://schemas.openxmlformats.org/officeDocument/2006/relationships/hyperlink" Target="https://drive.google.com/drive/folders/1xo3JI8FBV3Q9_v4mXivLAOzjnGI1gIeg" TargetMode="External"/><Relationship Id="rId267" Type="http://schemas.openxmlformats.org/officeDocument/2006/relationships/hyperlink" Target="https://docs.google.com/spreadsheets/d/1vKrAl4dDVrPEkhtJeSP4UwqPJVdXx2gv8JWkFaIldbM/edit?usp=drivesdk" TargetMode="External"/><Relationship Id="rId268" Type="http://schemas.openxmlformats.org/officeDocument/2006/relationships/hyperlink" Target="https://drive.google.com/drive/folders/1IPo3mfxu4RGASGQfvaUI0Vf4x5Tn32eD" TargetMode="External"/><Relationship Id="rId269" Type="http://schemas.openxmlformats.org/officeDocument/2006/relationships/hyperlink" Target="https://docs.google.com/spreadsheets/d/13xyjVlOsJ3L4sIhtAjGQSLAFYojFLQo3crVwKvdamQI/edit?usp=drivesdk" TargetMode="External"/><Relationship Id="rId270" Type="http://schemas.openxmlformats.org/officeDocument/2006/relationships/hyperlink" Target="https://drive.google.com/drive/folders/1IPo3mfxu4RGASGQfvaUI0Vf4x5Tn32eD" TargetMode="External"/><Relationship Id="rId271" Type="http://schemas.openxmlformats.org/officeDocument/2006/relationships/hyperlink" Target="https://docs.google.com/spreadsheets/d/13qbxjTFQHphhDAM_MyYydnlpIevcfv_XxRnYcM9CrGM/edit?usp=drivesdk" TargetMode="External"/><Relationship Id="rId272" Type="http://schemas.openxmlformats.org/officeDocument/2006/relationships/hyperlink" Target="https://drive.google.com/drive/folders/1IPo3mfxu4RGASGQfvaUI0Vf4x5Tn32eD" TargetMode="External"/><Relationship Id="rId273" Type="http://schemas.openxmlformats.org/officeDocument/2006/relationships/hyperlink" Target="https://docs.google.com/spreadsheets/d/1MQHEVwqELA2fMk3oYWO_MwZ8-7UhlVWOCRmvBvqZmMQ/edit?usp=drivesdk" TargetMode="External"/><Relationship Id="rId274" Type="http://schemas.openxmlformats.org/officeDocument/2006/relationships/hyperlink" Target="https://drive.google.com/drive/folders/1IPo3mfxu4RGASGQfvaUI0Vf4x5Tn32eD" TargetMode="External"/><Relationship Id="rId275" Type="http://schemas.openxmlformats.org/officeDocument/2006/relationships/hyperlink" Target="https://docs.google.com/spreadsheets/d/1fv6SWfryJvl0xz2n6PZ9vcp1sNE0TuiN1uWv3VnAQDc/edit?usp=drivesdk" TargetMode="External"/><Relationship Id="rId276" Type="http://schemas.openxmlformats.org/officeDocument/2006/relationships/hyperlink" Target="https://drive.google.com/drive/folders/1IPo3mfxu4RGASGQfvaUI0Vf4x5Tn32eD" TargetMode="External"/><Relationship Id="rId277" Type="http://schemas.openxmlformats.org/officeDocument/2006/relationships/hyperlink" Target="https://docs.google.com/spreadsheets/d/1RNALD2_DTch6Fcd-xN_212iyzxL1hgS1_pyMQ-hF_Ic/edit?usp=drivesdk" TargetMode="External"/><Relationship Id="rId278" Type="http://schemas.openxmlformats.org/officeDocument/2006/relationships/hyperlink" Target="https://drive.google.com/drive/folders/1IPo3mfxu4RGASGQfvaUI0Vf4x5Tn32eD" TargetMode="External"/><Relationship Id="rId279" Type="http://schemas.openxmlformats.org/officeDocument/2006/relationships/hyperlink" Target="https://docs.google.com/spreadsheets/d/1gO7rrwt-N0FjFIfVwPciF3Hq12suU52ffJ-uZLcmIOg/edit?usp=drivesdk" TargetMode="External"/><Relationship Id="rId280" Type="http://schemas.openxmlformats.org/officeDocument/2006/relationships/hyperlink" Target="https://drive.google.com/drive/folders/1IPo3mfxu4RGASGQfvaUI0Vf4x5Tn32eD" TargetMode="External"/><Relationship Id="rId281" Type="http://schemas.openxmlformats.org/officeDocument/2006/relationships/hyperlink" Target="https://docs.google.com/spreadsheets/d/1N3KHO7ORaL7NdYAIHrRUWADVPttTs4KJbmgqJaGVxn4/edit?usp=drivesdk" TargetMode="External"/><Relationship Id="rId282" Type="http://schemas.openxmlformats.org/officeDocument/2006/relationships/hyperlink" Target="https://drive.google.com/drive/folders/1IPo3mfxu4RGASGQfvaUI0Vf4x5Tn32eD" TargetMode="External"/><Relationship Id="rId283" Type="http://schemas.openxmlformats.org/officeDocument/2006/relationships/hyperlink" Target="https://docs.google.com/spreadsheets/d/1Oil1jsHs4zjX3B8EEEY94MlbKnZBpmwdMYac1gw8Wtw/edit?usp=drivesdk" TargetMode="External"/><Relationship Id="rId284" Type="http://schemas.openxmlformats.org/officeDocument/2006/relationships/hyperlink" Target="https://drive.google.com/drive/folders/1IPo3mfxu4RGASGQfvaUI0Vf4x5Tn32eD" TargetMode="External"/><Relationship Id="rId285" Type="http://schemas.openxmlformats.org/officeDocument/2006/relationships/hyperlink" Target="https://docs.google.com/spreadsheets/d/1W7LER4r5mh1iONXBEknrRP5jjJfPUJjMu3AaXgpWw1s/edit?usp=drivesdk" TargetMode="External"/><Relationship Id="rId286" Type="http://schemas.openxmlformats.org/officeDocument/2006/relationships/hyperlink" Target="https://drive.google.com/drive/folders/1IPo3mfxu4RGASGQfvaUI0Vf4x5Tn32eD" TargetMode="External"/><Relationship Id="rId287" Type="http://schemas.openxmlformats.org/officeDocument/2006/relationships/hyperlink" Target="https://docs.google.com/spreadsheets/d/1kp1I3MKGFQsJU1sdM_gqbq6fFtfPyXdy6IkmV6ZcRHk/edit?usp=drivesdk" TargetMode="External"/><Relationship Id="rId288" Type="http://schemas.openxmlformats.org/officeDocument/2006/relationships/hyperlink" Target="https://drive.google.com/drive/folders/1IPo3mfxu4RGASGQfvaUI0Vf4x5Tn32eD" TargetMode="External"/><Relationship Id="rId289" Type="http://schemas.openxmlformats.org/officeDocument/2006/relationships/hyperlink" Target="https://docs.google.com/spreadsheets/d/12tpLqxiCDVWr98mq6UhZn34g0LLEv3cL-RhCRItEVWY/edit?usp=drivesdk" TargetMode="External"/><Relationship Id="rId290" Type="http://schemas.openxmlformats.org/officeDocument/2006/relationships/hyperlink" Target="https://drive.google.com/drive/folders/1IPo3mfxu4RGASGQfvaUI0Vf4x5Tn32eD" TargetMode="External"/><Relationship Id="rId291" Type="http://schemas.openxmlformats.org/officeDocument/2006/relationships/hyperlink" Target="https://docs.google.com/spreadsheets/d/19oNmoCgUfYvmQmbcjM_-ohWK58Ya1fURUSL17tASUPY/edit?usp=drivesdk" TargetMode="External"/><Relationship Id="rId292" Type="http://schemas.openxmlformats.org/officeDocument/2006/relationships/hyperlink" Target="https://drive.google.com/drive/folders/1IPo3mfxu4RGASGQfvaUI0Vf4x5Tn32eD" TargetMode="External"/><Relationship Id="rId293" Type="http://schemas.openxmlformats.org/officeDocument/2006/relationships/hyperlink" Target="https://docs.google.com/spreadsheets/d/1SMw8IoGXwduJfMt9qUybBaXFNY3NjsUqUvIaWR2p6bc/edit?usp=drivesdk" TargetMode="External"/><Relationship Id="rId294" Type="http://schemas.openxmlformats.org/officeDocument/2006/relationships/hyperlink" Target="https://drive.google.com/drive/folders/1IPo3mfxu4RGASGQfvaUI0Vf4x5Tn32eD" TargetMode="External"/><Relationship Id="rId295" Type="http://schemas.openxmlformats.org/officeDocument/2006/relationships/hyperlink" Target="https://docs.google.com/spreadsheets/d/1sCwxUQtGvZv2Xm7GALM1f0w3_rE7RlHSZZhIWox_gQs/edit?usp=drivesdk" TargetMode="External"/><Relationship Id="rId296" Type="http://schemas.openxmlformats.org/officeDocument/2006/relationships/hyperlink" Target="https://drive.google.com/drive/folders/1IPo3mfxu4RGASGQfvaUI0Vf4x5Tn32eD" TargetMode="External"/><Relationship Id="rId297" Type="http://schemas.openxmlformats.org/officeDocument/2006/relationships/hyperlink" Target="https://docs.google.com/spreadsheets/d/1Ytp31iExI2L5vxN98XyvMPr2bKXne2DkGKzfDqcMBOA/edit?usp=drivesdk" TargetMode="External"/><Relationship Id="rId298" Type="http://schemas.openxmlformats.org/officeDocument/2006/relationships/hyperlink" Target="https://drive.google.com/drive/folders/1IPo3mfxu4RGASGQfvaUI0Vf4x5Tn32eD" TargetMode="External"/><Relationship Id="rId299" Type="http://schemas.openxmlformats.org/officeDocument/2006/relationships/hyperlink" Target="https://docs.google.com/spreadsheets/d/1JM2At41nvRQg5Snp2rj49CewpqWIf7BUyQjirjQFI0g/edit?usp=drivesdk" TargetMode="External"/><Relationship Id="rId300" Type="http://schemas.openxmlformats.org/officeDocument/2006/relationships/hyperlink" Target="https://drive.google.com/drive/folders/1IPo3mfxu4RGASGQfvaUI0Vf4x5Tn32eD" TargetMode="External"/><Relationship Id="rId301" Type="http://schemas.openxmlformats.org/officeDocument/2006/relationships/hyperlink" Target="https://docs.google.com/spreadsheets/d/1Q-3tNbSAyMilgtQE-i6btoQb4i80WhwS6vcu7dysLzU/edit?usp=drivesdk" TargetMode="External"/><Relationship Id="rId302" Type="http://schemas.openxmlformats.org/officeDocument/2006/relationships/hyperlink" Target="https://drive.google.com/drive/folders/1IPo3mfxu4RGASGQfvaUI0Vf4x5Tn32eD" TargetMode="External"/><Relationship Id="rId303" Type="http://schemas.openxmlformats.org/officeDocument/2006/relationships/hyperlink" Target="https://docs.google.com/spreadsheets/d/1eTbfwpbZpD_PbRIBCUH-MrGJMP705y7pQNgFt7W8zsU/edit?usp=drivesdk" TargetMode="External"/><Relationship Id="rId304" Type="http://schemas.openxmlformats.org/officeDocument/2006/relationships/hyperlink" Target="https://drive.google.com/drive/folders/1IPo3mfxu4RGASGQfvaUI0Vf4x5Tn32eD" TargetMode="External"/><Relationship Id="rId305" Type="http://schemas.openxmlformats.org/officeDocument/2006/relationships/hyperlink" Target="https://docs.google.com/spreadsheets/d/1R2ucccMXSsOiBnd3d9PWoWqzRJMibxbhAYS-dbhmq1c/edit?usp=drivesdk" TargetMode="External"/><Relationship Id="rId306" Type="http://schemas.openxmlformats.org/officeDocument/2006/relationships/hyperlink" Target="https://drive.google.com/drive/folders/1IPo3mfxu4RGASGQfvaUI0Vf4x5Tn32eD" TargetMode="External"/><Relationship Id="rId307" Type="http://schemas.openxmlformats.org/officeDocument/2006/relationships/hyperlink" Target="https://docs.google.com/spreadsheets/d/1bD2HH7qidgPaBoHVCOTXETmO2oj96q7ixd_Rwm1CMyI/edit?usp=drivesdk" TargetMode="External"/><Relationship Id="rId308" Type="http://schemas.openxmlformats.org/officeDocument/2006/relationships/hyperlink" Target="https://drive.google.com/drive/folders/1IPo3mfxu4RGASGQfvaUI0Vf4x5Tn32eD" TargetMode="External"/><Relationship Id="rId309" Type="http://schemas.openxmlformats.org/officeDocument/2006/relationships/hyperlink" Target="https://docs.google.com/spreadsheets/d/1B3ojzK1HzAUGiWieb6_3JrFU-wdQXJQ-3DUSMM6vKA0/edit?usp=drivesdk" TargetMode="External"/><Relationship Id="rId310" Type="http://schemas.openxmlformats.org/officeDocument/2006/relationships/hyperlink" Target="https://drive.google.com/drive/folders/1IPo3mfxu4RGASGQfvaUI0Vf4x5Tn32eD" TargetMode="External"/><Relationship Id="rId311" Type="http://schemas.openxmlformats.org/officeDocument/2006/relationships/hyperlink" Target="https://docs.google.com/spreadsheets/d/1RO9GFLLBzNm1nJ4SuKe4wNGShvkTskxs0IDeNJqWMjk/edit?usp=drivesdk" TargetMode="External"/><Relationship Id="rId312" Type="http://schemas.openxmlformats.org/officeDocument/2006/relationships/hyperlink" Target="https://drive.google.com/drive/folders/1IPo3mfxu4RGASGQfvaUI0Vf4x5Tn32eD" TargetMode="External"/><Relationship Id="rId313" Type="http://schemas.openxmlformats.org/officeDocument/2006/relationships/hyperlink" Target="https://docs.google.com/spreadsheets/d/1OPh7J_dhsihQI0ocNN26ezaEf5h6DItJ45ohV1Oj3v8/edit?usp=drivesdk" TargetMode="External"/><Relationship Id="rId314" Type="http://schemas.openxmlformats.org/officeDocument/2006/relationships/hyperlink" Target="https://drive.google.com/drive/folders/1IPo3mfxu4RGASGQfvaUI0Vf4x5Tn32eD" TargetMode="External"/><Relationship Id="rId315" Type="http://schemas.openxmlformats.org/officeDocument/2006/relationships/hyperlink" Target="https://docs.google.com/spreadsheets/d/1JnKhot_e5fORT8W6DwjaI4TkcUUoy1bMazHPQyqFpVs/edit?usp=drivesdk" TargetMode="External"/><Relationship Id="rId316" Type="http://schemas.openxmlformats.org/officeDocument/2006/relationships/hyperlink" Target="https://drive.google.com/drive/folders/1IPo3mfxu4RGASGQfvaUI0Vf4x5Tn32eD" TargetMode="External"/><Relationship Id="rId317" Type="http://schemas.openxmlformats.org/officeDocument/2006/relationships/hyperlink" Target="https://docs.google.com/spreadsheets/d/1wS37Jr3q2ayUe-GZlqubk7sSHfkGbtHv28LACmlQaF0/edit?usp=drivesdk" TargetMode="External"/><Relationship Id="rId318" Type="http://schemas.openxmlformats.org/officeDocument/2006/relationships/hyperlink" Target="https://drive.google.com/drive/folders/1jFOdp-kX6VAoZHXWpN_WNDGv8nYy3GAT" TargetMode="External"/><Relationship Id="rId319" Type="http://schemas.openxmlformats.org/officeDocument/2006/relationships/hyperlink" Target="https://docs.google.com/spreadsheets/d/17l1uWNG4Zpxowf4fpXMy2MVX4v02tDW0JVayeSFKjp0/edit?usp=drivesdk" TargetMode="External"/><Relationship Id="rId320" Type="http://schemas.openxmlformats.org/officeDocument/2006/relationships/hyperlink" Target="https://drive.google.com/drive/folders/1jFOdp-kX6VAoZHXWpN_WNDGv8nYy3GAT" TargetMode="External"/><Relationship Id="rId321" Type="http://schemas.openxmlformats.org/officeDocument/2006/relationships/hyperlink" Target="https://docs.google.com/spreadsheets/d/13ky_7ZJIlx1EJdwdCSzwtNGlSbaGt2_1MjEVJOliMmo/edit?usp=drivesdk" TargetMode="External"/><Relationship Id="rId322" Type="http://schemas.openxmlformats.org/officeDocument/2006/relationships/hyperlink" Target="https://drive.google.com/drive/folders/1jFOdp-kX6VAoZHXWpN_WNDGv8nYy3GAT" TargetMode="External"/><Relationship Id="rId323" Type="http://schemas.openxmlformats.org/officeDocument/2006/relationships/hyperlink" Target="https://docs.google.com/spreadsheets/d/1FND6Z5P66s5zkAr4aSa6O9pXqLvGOvQgCR8EMjbG5xU/edit?usp=drivesdk" TargetMode="External"/><Relationship Id="rId324" Type="http://schemas.openxmlformats.org/officeDocument/2006/relationships/hyperlink" Target="https://drive.google.com/drive/folders/1jFOdp-kX6VAoZHXWpN_WNDGv8nYy3GAT" TargetMode="External"/><Relationship Id="rId325" Type="http://schemas.openxmlformats.org/officeDocument/2006/relationships/hyperlink" Target="https://docs.google.com/spreadsheets/d/1wrHxP58R9PoJxL-nXErcZkhXPpXcX_Y2e3p2qZ5ef60/edit?usp=drivesdk" TargetMode="External"/><Relationship Id="rId326" Type="http://schemas.openxmlformats.org/officeDocument/2006/relationships/hyperlink" Target="https://drive.google.com/drive/folders/1jFOdp-kX6VAoZHXWpN_WNDGv8nYy3GAT" TargetMode="External"/><Relationship Id="rId327" Type="http://schemas.openxmlformats.org/officeDocument/2006/relationships/hyperlink" Target="https://docs.google.com/spreadsheets/d/1Em7p9A2OKuyJG2TbYQMa7zugF-8qCvBI7ksOX0-AFzM/edit?usp=drivesdk" TargetMode="External"/><Relationship Id="rId328" Type="http://schemas.openxmlformats.org/officeDocument/2006/relationships/hyperlink" Target="https://drive.google.com/drive/folders/1jFOdp-kX6VAoZHXWpN_WNDGv8nYy3GAT" TargetMode="External"/><Relationship Id="rId329" Type="http://schemas.openxmlformats.org/officeDocument/2006/relationships/hyperlink" Target="https://docs.google.com/spreadsheets/d/1ccJ9xfAWFyd4fr-16IjNfGDlw56-UUYI1H02F0i9kME/edit?usp=drivesdk" TargetMode="External"/><Relationship Id="rId330" Type="http://schemas.openxmlformats.org/officeDocument/2006/relationships/hyperlink" Target="https://drive.google.com/drive/folders/1jFOdp-kX6VAoZHXWpN_WNDGv8nYy3GAT" TargetMode="External"/><Relationship Id="rId331" Type="http://schemas.openxmlformats.org/officeDocument/2006/relationships/hyperlink" Target="https://docs.google.com/spreadsheets/d/1ANyGtb7EZw4reFo9lV905bwWAD7KM8jkU2NHkUJ7btI/edit?usp=drivesdk" TargetMode="External"/><Relationship Id="rId332" Type="http://schemas.openxmlformats.org/officeDocument/2006/relationships/hyperlink" Target="https://drive.google.com/drive/folders/1jFOdp-kX6VAoZHXWpN_WNDGv8nYy3GAT" TargetMode="External"/><Relationship Id="rId333" Type="http://schemas.openxmlformats.org/officeDocument/2006/relationships/hyperlink" Target="https://docs.google.com/spreadsheets/d/1XSXeHakdAViTuaFzUjPDYC9ejkX17hLy5yoz03bm_kA/edit?usp=drivesdk" TargetMode="External"/><Relationship Id="rId334" Type="http://schemas.openxmlformats.org/officeDocument/2006/relationships/hyperlink" Target="https://drive.google.com/drive/folders/1jFOdp-kX6VAoZHXWpN_WNDGv8nYy3GAT" TargetMode="External"/><Relationship Id="rId335" Type="http://schemas.openxmlformats.org/officeDocument/2006/relationships/hyperlink" Target="https://docs.google.com/spreadsheets/d/1XJa-B3PvNZMJbtRma0-Y7NYz4T9s7EfsVAPZbHIey0w/edit?usp=drivesdk" TargetMode="External"/><Relationship Id="rId336" Type="http://schemas.openxmlformats.org/officeDocument/2006/relationships/hyperlink" Target="https://drive.google.com/drive/folders/1jFOdp-kX6VAoZHXWpN_WNDGv8nYy3GAT" TargetMode="External"/><Relationship Id="rId337" Type="http://schemas.openxmlformats.org/officeDocument/2006/relationships/hyperlink" Target="https://docs.google.com/spreadsheets/d/1uihNIp9ryCP4DpCp-wR2HcsASiCn3vN3HlSJF-lgXIY/edit?usp=drivesdk" TargetMode="External"/><Relationship Id="rId338" Type="http://schemas.openxmlformats.org/officeDocument/2006/relationships/hyperlink" Target="https://drive.google.com/drive/folders/1jFOdp-kX6VAoZHXWpN_WNDGv8nYy3GAT" TargetMode="External"/><Relationship Id="rId339" Type="http://schemas.openxmlformats.org/officeDocument/2006/relationships/hyperlink" Target="https://docs.google.com/spreadsheets/d/1_3UFV1dJ7PsMJtrVAXX1geZrGT4AHY5htES_aV_KSwE/edit?usp=drivesdk" TargetMode="External"/><Relationship Id="rId340" Type="http://schemas.openxmlformats.org/officeDocument/2006/relationships/hyperlink" Target="https://drive.google.com/drive/folders/1jFOdp-kX6VAoZHXWpN_WNDGv8nYy3GAT" TargetMode="External"/><Relationship Id="rId341" Type="http://schemas.openxmlformats.org/officeDocument/2006/relationships/hyperlink" Target="https://docs.google.com/spreadsheets/d/1b6EJAEjYzBO1QBt6NF8iJjFewqwy4wHI-qQyPUaZcQs/edit?usp=drivesdk" TargetMode="External"/><Relationship Id="rId342" Type="http://schemas.openxmlformats.org/officeDocument/2006/relationships/hyperlink" Target="https://drive.google.com/drive/folders/1jFOdp-kX6VAoZHXWpN_WNDGv8nYy3GAT" TargetMode="External"/><Relationship Id="rId343" Type="http://schemas.openxmlformats.org/officeDocument/2006/relationships/hyperlink" Target="https://docs.google.com/spreadsheets/d/1uLo0kt8D-FNGQrcXDy-VWudsfvcVP13hHLQKTfbz-GE/edit?usp=drivesdk" TargetMode="External"/><Relationship Id="rId344" Type="http://schemas.openxmlformats.org/officeDocument/2006/relationships/hyperlink" Target="https://drive.google.com/drive/folders/1jFOdp-kX6VAoZHXWpN_WNDGv8nYy3GAT" TargetMode="External"/><Relationship Id="rId345" Type="http://schemas.openxmlformats.org/officeDocument/2006/relationships/hyperlink" Target="https://docs.google.com/spreadsheets/d/1nhJ4v67vvNSgs_0gT1pkIPP0T3yGFG8wp6-K1ybk_ys/edit?usp=drivesdk" TargetMode="External"/><Relationship Id="rId346" Type="http://schemas.openxmlformats.org/officeDocument/2006/relationships/hyperlink" Target="https://drive.google.com/drive/folders/1mBgXM_yc26TPMh14td5pbN54-jdzAX5v" TargetMode="External"/><Relationship Id="rId347" Type="http://schemas.openxmlformats.org/officeDocument/2006/relationships/hyperlink" Target="https://docs.google.com/spreadsheets/d/1SfPBHqRFVscni2DDaXTIVfuDtcnxS2V2hp0_tWgPCMI/edit?usp=drivesdk" TargetMode="External"/><Relationship Id="rId348" Type="http://schemas.openxmlformats.org/officeDocument/2006/relationships/hyperlink" Target="https://drive.google.com/drive/folders/1lHoiz6Tu3hWQw8aPm0mn4HKuiiCV-bWl" TargetMode="External"/><Relationship Id="rId349" Type="http://schemas.openxmlformats.org/officeDocument/2006/relationships/hyperlink" Target="https://docs.google.com/spreadsheets/d/13y38-LactJMmrM2-PSWIIpLVJUnK-w9HVuAIZQKCrE8/edit?usp=drivesdk" TargetMode="External"/><Relationship Id="rId350" Type="http://schemas.openxmlformats.org/officeDocument/2006/relationships/hyperlink" Target="https://drive.google.com/drive/folders/1lHoiz6Tu3hWQw8aPm0mn4HKuiiCV-bWl" TargetMode="External"/><Relationship Id="rId351" Type="http://schemas.openxmlformats.org/officeDocument/2006/relationships/hyperlink" Target="https://docs.google.com/spreadsheets/d/1BMuIKm13mbtLfnsLXDiAHUiQ0H25MFCFk0Rnrq7TzJE/edit?usp=drivesdk" TargetMode="External"/><Relationship Id="rId352" Type="http://schemas.openxmlformats.org/officeDocument/2006/relationships/hyperlink" Target="https://drive.google.com/drive/folders/1lHoiz6Tu3hWQw8aPm0mn4HKuiiCV-bWl" TargetMode="External"/><Relationship Id="rId353" Type="http://schemas.openxmlformats.org/officeDocument/2006/relationships/hyperlink" Target="https://docs.google.com/spreadsheets/d/1PTThEhyiMBZUM_xZvGcYnIouI_ogwpZgs6wKmIyDRJE/edit?usp=drivesdk" TargetMode="External"/><Relationship Id="rId354" Type="http://schemas.openxmlformats.org/officeDocument/2006/relationships/hyperlink" Target="https://drive.google.com/drive/folders/1lHoiz6Tu3hWQw8aPm0mn4HKuiiCV-bWl" TargetMode="External"/><Relationship Id="rId355" Type="http://schemas.openxmlformats.org/officeDocument/2006/relationships/hyperlink" Target="https://docs.google.com/spreadsheets/d/1faaGVEb0DnweCF968UjxNvzY6B8k9JAGPBSIfzBaAeU/edit?usp=drivesdk" TargetMode="External"/><Relationship Id="rId356" Type="http://schemas.openxmlformats.org/officeDocument/2006/relationships/hyperlink" Target="https://drive.google.com/drive/folders/1lHoiz6Tu3hWQw8aPm0mn4HKuiiCV-bWl" TargetMode="External"/><Relationship Id="rId357" Type="http://schemas.openxmlformats.org/officeDocument/2006/relationships/hyperlink" Target="https://docs.google.com/spreadsheets/d/18gXpstAiq-3clD9Ppo3zwJCrJ8SOhiZ2UZIt37wdt60/edit?usp=drivesdk" TargetMode="External"/><Relationship Id="rId358" Type="http://schemas.openxmlformats.org/officeDocument/2006/relationships/hyperlink" Target="https://drive.google.com/drive/folders/1lHoiz6Tu3hWQw8aPm0mn4HKuiiCV-bWl" TargetMode="External"/><Relationship Id="rId359" Type="http://schemas.openxmlformats.org/officeDocument/2006/relationships/hyperlink" Target="https://docs.google.com/spreadsheets/d/1EeJLQe53RCle_2e74YlC29JGTTWdO7oiAa_Oa4aJt3I/edit?usp=drivesdk" TargetMode="External"/><Relationship Id="rId360" Type="http://schemas.openxmlformats.org/officeDocument/2006/relationships/hyperlink" Target="https://drive.google.com/drive/folders/1lHoiz6Tu3hWQw8aPm0mn4HKuiiCV-bWl" TargetMode="External"/><Relationship Id="rId361" Type="http://schemas.openxmlformats.org/officeDocument/2006/relationships/hyperlink" Target="https://docs.google.com/spreadsheets/d/1sZcc7QkGGWuw_6vqasVyDpYiIvuy-FJS-t1FcbNic5s/edit?usp=drivesdk" TargetMode="External"/><Relationship Id="rId362" Type="http://schemas.openxmlformats.org/officeDocument/2006/relationships/hyperlink" Target="https://drive.google.com/drive/folders/1lHoiz6Tu3hWQw8aPm0mn4HKuiiCV-bWl" TargetMode="External"/><Relationship Id="rId363" Type="http://schemas.openxmlformats.org/officeDocument/2006/relationships/hyperlink" Target="https://docs.google.com/spreadsheets/d/1x4djfln55ZtL3gaji7Cg43ocn1UM6LjxM8Ce3CtgRzU/edit?usp=drivesdk" TargetMode="External"/><Relationship Id="rId364" Type="http://schemas.openxmlformats.org/officeDocument/2006/relationships/hyperlink" Target="https://drive.google.com/drive/folders/1lHoiz6Tu3hWQw8aPm0mn4HKuiiCV-bWl" TargetMode="External"/><Relationship Id="rId365" Type="http://schemas.openxmlformats.org/officeDocument/2006/relationships/hyperlink" Target="https://docs.google.com/spreadsheets/d/1ULXpe4kjqyQqlY64HT32g3QTIhxdRs9ESSg5mXrbDVE/edit?usp=drivesdk" TargetMode="External"/><Relationship Id="rId366" Type="http://schemas.openxmlformats.org/officeDocument/2006/relationships/hyperlink" Target="https://drive.google.com/drive/folders/1lHoiz6Tu3hWQw8aPm0mn4HKuiiCV-bWl" TargetMode="External"/><Relationship Id="rId367" Type="http://schemas.openxmlformats.org/officeDocument/2006/relationships/hyperlink" Target="https://docs.google.com/spreadsheets/d/1TanKTUfa8XAPvfJN8yN54I2x2xc0s1hLJ1-hl1XaXDs/edit?usp=drivesdk" TargetMode="External"/><Relationship Id="rId368" Type="http://schemas.openxmlformats.org/officeDocument/2006/relationships/hyperlink" Target="https://drive.google.com/drive/folders/1lHoiz6Tu3hWQw8aPm0mn4HKuiiCV-bWl" TargetMode="External"/><Relationship Id="rId369" Type="http://schemas.openxmlformats.org/officeDocument/2006/relationships/hyperlink" Target="https://docs.google.com/spreadsheets/d/1JrPw1Rrg9hIuCfCmOpqep-FsH23Td_upHfuU6pQcJB0/edit?usp=drivesdk" TargetMode="External"/><Relationship Id="rId370" Type="http://schemas.openxmlformats.org/officeDocument/2006/relationships/hyperlink" Target="https://drive.google.com/drive/folders/1lHoiz6Tu3hWQw8aPm0mn4HKuiiCV-bWl" TargetMode="External"/><Relationship Id="rId371" Type="http://schemas.openxmlformats.org/officeDocument/2006/relationships/hyperlink" Target="https://docs.google.com/spreadsheets/d/19VGKbDbKPw85Ew2uzQra8lxe3IU-vMLFPzZiZYadzvI/edit?usp=drivesdk" TargetMode="External"/><Relationship Id="rId372" Type="http://schemas.openxmlformats.org/officeDocument/2006/relationships/hyperlink" Target="https://drive.google.com/drive/folders/1lHoiz6Tu3hWQw8aPm0mn4HKuiiCV-bWl" TargetMode="External"/><Relationship Id="rId373" Type="http://schemas.openxmlformats.org/officeDocument/2006/relationships/hyperlink" Target="https://docs.google.com/spreadsheets/d/1uipBphZgKKWWx5MovVbi5RjlwlrW_AJNu3Tmfm4_kP0/edit?usp=drivesdk" TargetMode="External"/><Relationship Id="rId374" Type="http://schemas.openxmlformats.org/officeDocument/2006/relationships/hyperlink" Target="https://drive.google.com/drive/folders/1lHoiz6Tu3hWQw8aPm0mn4HKuiiCV-bWl" TargetMode="External"/><Relationship Id="rId375" Type="http://schemas.openxmlformats.org/officeDocument/2006/relationships/hyperlink" Target="https://docs.google.com/spreadsheets/d/11yV3ebK1cisa3SKkOaktFr-vEl2aHXPzNlgvrSVXBbQ/edit?usp=drivesdk" TargetMode="External"/><Relationship Id="rId376" Type="http://schemas.openxmlformats.org/officeDocument/2006/relationships/hyperlink" Target="https://drive.google.com/drive/folders/1bpud7tr7RoyTw8hxBGHeW8_tcrFhCzB1" TargetMode="External"/><Relationship Id="rId377" Type="http://schemas.openxmlformats.org/officeDocument/2006/relationships/hyperlink" Target="https://docs.google.com/spreadsheets/d/1ISJ2WlSza-RdT3nPZ3EY3BtnVJu8zBqe36wdkOcgK9s/edit?usp=drivesdk" TargetMode="External"/><Relationship Id="rId378" Type="http://schemas.openxmlformats.org/officeDocument/2006/relationships/hyperlink" Target="https://drive.google.com/drive/folders/1kNCBRERbhx9D9oexlnLApZI7TFVEOs6Q" TargetMode="External"/><Relationship Id="rId379" Type="http://schemas.openxmlformats.org/officeDocument/2006/relationships/hyperlink" Target="https://docs.google.com/spreadsheets/d/1Nc-g1dktL7r4nQRqHYxe8DOritxQAYjZvmzSA_2xk-U/edit?usp=drivesdk" TargetMode="External"/><Relationship Id="rId380" Type="http://schemas.openxmlformats.org/officeDocument/2006/relationships/hyperlink" Target="https://drive.google.com/drive/folders/1kNCBRERbhx9D9oexlnLApZI7TFVEOs6Q" TargetMode="External"/><Relationship Id="rId381" Type="http://schemas.openxmlformats.org/officeDocument/2006/relationships/hyperlink" Target="https://docs.google.com/spreadsheets/d/1eBsJUqsqERCGzLm0JwfrDZOgAozi__VXIaC1yNbC7aw/edit?usp=drivesdk" TargetMode="External"/><Relationship Id="rId382" Type="http://schemas.openxmlformats.org/officeDocument/2006/relationships/hyperlink" Target="https://drive.google.com/drive/folders/1kNCBRERbhx9D9oexlnLApZI7TFVEOs6Q" TargetMode="External"/><Relationship Id="rId383" Type="http://schemas.openxmlformats.org/officeDocument/2006/relationships/hyperlink" Target="https://docs.google.com/spreadsheets/d/1mqGhRWRRIStRxPgl3sUYMnqC36nzcL01B1htyauxBuk/edit?usp=drivesdk" TargetMode="External"/><Relationship Id="rId384" Type="http://schemas.openxmlformats.org/officeDocument/2006/relationships/hyperlink" Target="https://drive.google.com/drive/folders/1kNCBRERbhx9D9oexlnLApZI7TFVEOs6Q" TargetMode="External"/><Relationship Id="rId385" Type="http://schemas.openxmlformats.org/officeDocument/2006/relationships/hyperlink" Target="https://docs.google.com/spreadsheets/d/1816fenKuHQgX4inQhvE0Hs6we6ACVn7K4KjNPAqVe0E/edit?usp=drivesdk" TargetMode="External"/><Relationship Id="rId386" Type="http://schemas.openxmlformats.org/officeDocument/2006/relationships/hyperlink" Target="https://drive.google.com/drive/folders/1nGJ0k9Zza3vtygiVL6zrOUdtvC795Kt4" TargetMode="External"/><Relationship Id="rId387" Type="http://schemas.openxmlformats.org/officeDocument/2006/relationships/hyperlink" Target="https://docs.google.com/spreadsheets/d/1bfFQd6hYZWtC4SWMGb6S9w4FceolFYbGsfHuqf8_Krw/edit?usp=drivesdk" TargetMode="External"/><Relationship Id="rId388" Type="http://schemas.openxmlformats.org/officeDocument/2006/relationships/hyperlink" Target="https://drive.google.com/drive/folders/1nGJ0k9Zza3vtygiVL6zrOUdtvC795Kt4" TargetMode="External"/><Relationship Id="rId389" Type="http://schemas.openxmlformats.org/officeDocument/2006/relationships/hyperlink" Target="https://docs.google.com/spreadsheets/d/1xp2HVyNxe1bObo-UwP06LCy-tOH4k2W0QkvT87Z6ZyM/edit?usp=drivesdk" TargetMode="External"/><Relationship Id="rId390" Type="http://schemas.openxmlformats.org/officeDocument/2006/relationships/hyperlink" Target="https://drive.google.com/drive/folders/1nGJ0k9Zza3vtygiVL6zrOUdtvC795Kt4" TargetMode="External"/><Relationship Id="rId391" Type="http://schemas.openxmlformats.org/officeDocument/2006/relationships/hyperlink" Target="https://docs.google.com/spreadsheets/d/1axasIfbDDcUSd494aILA6UQNK4qO-c2fNpca1xJadYQ/edit?usp=drivesdk" TargetMode="External"/><Relationship Id="rId392" Type="http://schemas.openxmlformats.org/officeDocument/2006/relationships/hyperlink" Target="https://drive.google.com/drive/folders/1nGJ0k9Zza3vtygiVL6zrOUdtvC795Kt4" TargetMode="External"/><Relationship Id="rId393" Type="http://schemas.openxmlformats.org/officeDocument/2006/relationships/hyperlink" Target="https://docs.google.com/spreadsheets/d/1-oLjAF-Cf0iXb3XlLs-1MlBzL596snn1OJh6-f-np40/edit?usp=drivesdk" TargetMode="External"/><Relationship Id="rId394" Type="http://schemas.openxmlformats.org/officeDocument/2006/relationships/hyperlink" Target="https://drive.google.com/drive/folders/1nGJ0k9Zza3vtygiVL6zrOUdtvC795Kt4" TargetMode="External"/><Relationship Id="rId395" Type="http://schemas.openxmlformats.org/officeDocument/2006/relationships/hyperlink" Target="https://docs.google.com/spreadsheets/d/1drvyNORhub0lyHo8riQahLIABK_eljcSMFccl0EFqbI/edit?usp=drivesdk" TargetMode="External"/><Relationship Id="rId396" Type="http://schemas.openxmlformats.org/officeDocument/2006/relationships/hyperlink" Target="https://drive.google.com/drive/folders/1aCPHvXyuuGdIgipWP2RIEyk-TUPJHynz" TargetMode="External"/><Relationship Id="rId397" Type="http://schemas.openxmlformats.org/officeDocument/2006/relationships/hyperlink" Target="https://docs.google.com/spreadsheets/d/1kQS76NersyuyGyAWQOuHeHLLmJXSWHjXfEfM2AuGX4M/edit?usp=drivesdk" TargetMode="External"/><Relationship Id="rId398" Type="http://schemas.openxmlformats.org/officeDocument/2006/relationships/hyperlink" Target="https://drive.google.com/drive/folders/1eybgu-dtXO-QRSJloTe3UrdqxthysanV" TargetMode="External"/><Relationship Id="rId399" Type="http://schemas.openxmlformats.org/officeDocument/2006/relationships/hyperlink" Target="https://docs.google.com/spreadsheets/d/1JpWruXqglS5KBJ6VjvaoZowV99HOiCcMPTxcaHDioU0/edit?usp=drivesdk" TargetMode="External"/><Relationship Id="rId400" Type="http://schemas.openxmlformats.org/officeDocument/2006/relationships/hyperlink" Target="https://drive.google.com/drive/folders/1R7iz0gmoqTmV-yQLqAg8jz1_Gw7aNA2a" TargetMode="External"/><Relationship Id="rId401" Type="http://schemas.openxmlformats.org/officeDocument/2006/relationships/hyperlink" Target="https://docs.google.com/spreadsheets/d/1JpWruXqglS5KBJ6VjvaoZowV99HOiCcMPTxcaHDioU0/edit?usp=drivesdk" TargetMode="External"/><Relationship Id="rId402" Type="http://schemas.openxmlformats.org/officeDocument/2006/relationships/hyperlink" Target="https://drive.google.com/drive/folders/1R7iz0gmoqTmV-yQLqAg8jz1_Gw7aNA2a" TargetMode="External"/><Relationship Id="rId403" Type="http://schemas.openxmlformats.org/officeDocument/2006/relationships/hyperlink" Target="https://docs.google.com/spreadsheets/d/1dw4myxzJkUgnD9Vsq8X88CHEAhL_4wMp7eSTRETjdzU/edit?usp=drivesdk" TargetMode="External"/><Relationship Id="rId404" Type="http://schemas.openxmlformats.org/officeDocument/2006/relationships/hyperlink" Target="https://drive.google.com/drive/folders/1oVZYT1yPNZnXLNdlHXbF_6MVref3-L-C" TargetMode="External"/><Relationship Id="rId405" Type="http://schemas.openxmlformats.org/officeDocument/2006/relationships/hyperlink" Target="https://docs.google.com/spreadsheets/d/1X6xc-eppb78kf-81Rfd1ujOJN91jDjs5m0SYKWD0V3w/edit?usp=drivesdk" TargetMode="External"/><Relationship Id="rId406" Type="http://schemas.openxmlformats.org/officeDocument/2006/relationships/hyperlink" Target="https://drive.google.com/drive/folders/1oVZYT1yPNZnXLNdlHXbF_6MVref3-L-C" TargetMode="External"/><Relationship Id="rId407" Type="http://schemas.openxmlformats.org/officeDocument/2006/relationships/hyperlink" Target="https://docs.google.com/spreadsheets/d/1dsdvsWOAic50oAoptHCCxxpWKjGRjdjN9rGoQ7nA7rc/edit?usp=drivesdk" TargetMode="External"/><Relationship Id="rId408" Type="http://schemas.openxmlformats.org/officeDocument/2006/relationships/hyperlink" Target="https://drive.google.com/drive/folders/1oVZYT1yPNZnXLNdlHXbF_6MVref3-L-C" TargetMode="External"/><Relationship Id="rId409" Type="http://schemas.openxmlformats.org/officeDocument/2006/relationships/hyperlink" Target="https://docs.google.com/spreadsheets/d/1acXEvq_xc4-39VBmxQ2x2E2vfXASt11_5qIe6NwNQtc/edit?usp=drivesdk" TargetMode="External"/><Relationship Id="rId410" Type="http://schemas.openxmlformats.org/officeDocument/2006/relationships/hyperlink" Target="https://drive.google.com/drive/folders/1xo3JI8FBV3Q9_v4mXivLAOzjnGI1gIeg" TargetMode="External"/><Relationship Id="rId411" Type="http://schemas.openxmlformats.org/officeDocument/2006/relationships/hyperlink" Target="https://docs.google.com/spreadsheets/d/1lR_hUOK2HrbFDB9HAfX6T-RpF_SLevCOudWJcGrEDQw/edit?usp=drivesdk" TargetMode="External"/><Relationship Id="rId412" Type="http://schemas.openxmlformats.org/officeDocument/2006/relationships/hyperlink" Target="https://drive.google.com/drive/folders/1IPo3mfxu4RGASGQfvaUI0Vf4x5Tn32eD" TargetMode="External"/><Relationship Id="rId413" Type="http://schemas.openxmlformats.org/officeDocument/2006/relationships/hyperlink" Target="https://docs.google.com/spreadsheets/d/1oPLxMNuIszOw0Hg3ablRkq5ShynX_o9tOdl9yQgCrIM/edit?usp=drivesdk" TargetMode="External"/><Relationship Id="rId414" Type="http://schemas.openxmlformats.org/officeDocument/2006/relationships/hyperlink" Target="https://drive.google.com/drive/folders/1jFOdp-kX6VAoZHXWpN_WNDGv8nYy3GAT" TargetMode="External"/><Relationship Id="rId415" Type="http://schemas.openxmlformats.org/officeDocument/2006/relationships/hyperlink" Target="https://docs.google.com/spreadsheets/d/1rRIeNCw8tQTFmO9m7yxSUMBhMTA9ZnqJZYA8MBVlMrE/edit?usp=drivesdk" TargetMode="External"/><Relationship Id="rId416" Type="http://schemas.openxmlformats.org/officeDocument/2006/relationships/hyperlink" Target="https://drive.google.com/drive/folders/1lHoiz6Tu3hWQw8aPm0mn4HKuiiCV-bWl" TargetMode="External"/><Relationship Id="rId417" Type="http://schemas.openxmlformats.org/officeDocument/2006/relationships/hyperlink" Target="https://docs.google.com/spreadsheets/d/10_ub5q1opoB4D9M5uYQOX9O2SYS0PTVWhFJLEcJUjXg/edit?usp=drivesdk" TargetMode="External"/><Relationship Id="rId418" Type="http://schemas.openxmlformats.org/officeDocument/2006/relationships/hyperlink" Target="https://drive.google.com/drive/folders/1R5KNC8WZx9VatgzEeBZcNkSuBhovMUgu" TargetMode="External"/><Relationship Id="rId419" Type="http://schemas.openxmlformats.org/officeDocument/2006/relationships/hyperlink" Target="https://docs.google.com/spreadsheets/d/1GKkN7y1Y2GvUi_Xnsh_V89SCbkRU2Av5fKSqKivXNB8/edit?usp=drivesdk" TargetMode="External"/><Relationship Id="rId420" Type="http://schemas.openxmlformats.org/officeDocument/2006/relationships/hyperlink" Target="https://drive.google.com/drive/folders/1lHoiz6Tu3hWQw8aPm0mn4HKuiiCV-bWl" TargetMode="External"/><Relationship Id="rId421" Type="http://schemas.openxmlformats.org/officeDocument/2006/relationships/hyperlink" Target="https://docs.google.com/spreadsheets/d/1MlbAYCEhjKXdXa1QeSJ0p8INlr-A4F1Aoz_ME5Ga2wQ/edit?usp=drivesdk" TargetMode="External"/><Relationship Id="rId422" Type="http://schemas.openxmlformats.org/officeDocument/2006/relationships/hyperlink" Target="https://drive.google.com/drive/folders/1xo3JI8FBV3Q9_v4mXivLAOzjnGI1gIeg" TargetMode="External"/><Relationship Id="rId423" Type="http://schemas.openxmlformats.org/officeDocument/2006/relationships/hyperlink" Target="https://docs.google.com/spreadsheets/d/1uCHJfBJGNXB1-ElGPxgBMU0ZQMvdAqX6jAC34FXQlmo/edit?usp=drivesdk" TargetMode="External"/><Relationship Id="rId424" Type="http://schemas.openxmlformats.org/officeDocument/2006/relationships/hyperlink" Target="https://drive.google.com/drive/folders/1eybgu-dtXO-QRSJloTe3UrdqxthysanV" TargetMode="External"/><Relationship Id="rId425" Type="http://schemas.openxmlformats.org/officeDocument/2006/relationships/hyperlink" Target="https://docs.google.com/spreadsheets/d/15ciEncpy8hCSgz1v0BaXbYdfuu_XPLcTg-xgpSvzpOU/edit?usp=drivesdk" TargetMode="External"/><Relationship Id="rId426" Type="http://schemas.openxmlformats.org/officeDocument/2006/relationships/hyperlink" Target="https://drive.google.com/drive/folders/1blQh1Ixac08Hzf4RCy3mFJ_yPe3BH0ED" TargetMode="External"/><Relationship Id="rId427" Type="http://schemas.openxmlformats.org/officeDocument/2006/relationships/hyperlink" Target="https://docs.google.com/spreadsheets/d/1uBEjCnnhCYDAqo19aSjJp2iPmSVxKX7yytoNFxyu5TA/edit?usp=drivesdk" TargetMode="External"/><Relationship Id="rId428" Type="http://schemas.openxmlformats.org/officeDocument/2006/relationships/hyperlink" Target="https://drive.google.com/drive/folders/1xo3JI8FBV3Q9_v4mXivLAOzjnGI1gIeg" TargetMode="External"/><Relationship Id="rId429" Type="http://schemas.openxmlformats.org/officeDocument/2006/relationships/hyperlink" Target="https://docs.google.com/spreadsheets/d/1T0uUQkyxOqCZaoC8OoNZmJixaaU6eA-ZxGJ5dX6N8AE/edit?usp=drivesdk" TargetMode="External"/><Relationship Id="rId430" Type="http://schemas.openxmlformats.org/officeDocument/2006/relationships/hyperlink" Target="https://drive.google.com/drive/folders/1mUqLjiE2nnO8A0S4EOBgHoY5MwffU1oL" TargetMode="External"/><Relationship Id="rId431" Type="http://schemas.openxmlformats.org/officeDocument/2006/relationships/hyperlink" Target="https://docs.google.com/spreadsheets/d/1AFrKhcYy7SdIoaqnJDAF9rlY1MtGD9RxANjXUi2_JSQ/edit?usp=drivesdk" TargetMode="External"/><Relationship Id="rId432" Type="http://schemas.openxmlformats.org/officeDocument/2006/relationships/hyperlink" Target="https://drive.google.com/drive/folders/1VtbC3ANLqCxXDw_BqR_SHYEELqpyy98u" TargetMode="External"/><Relationship Id="rId433" Type="http://schemas.openxmlformats.org/officeDocument/2006/relationships/hyperlink" Target="https://docs.google.com/spreadsheets/d/1gZNO9d_kWqhnUf5Rg8K7ah7WH4qXBlDsGONpllNjoRk/edit?usp=drivesdk" TargetMode="External"/><Relationship Id="rId434" Type="http://schemas.openxmlformats.org/officeDocument/2006/relationships/hyperlink" Target="https://drive.google.com/drive/folders/1oVZYT1yPNZnXLNdlHXbF_6MVref3-L-C" TargetMode="External"/><Relationship Id="rId435" Type="http://schemas.openxmlformats.org/officeDocument/2006/relationships/hyperlink" Target="https://docs.google.com/spreadsheets/d/1IdcMxyEtZ7GZDE6n9LQjuhBComHpNaDENUfM0J_aFZ8/edit?usp=drivesdk" TargetMode="External"/><Relationship Id="rId436" Type="http://schemas.openxmlformats.org/officeDocument/2006/relationships/hyperlink" Target="https://drive.google.com/drive/folders/1R7iz0gmoqTmV-yQLqAg8jz1_Gw7aNA2a" TargetMode="External"/><Relationship Id="rId437" Type="http://schemas.openxmlformats.org/officeDocument/2006/relationships/hyperlink" Target="https://docs.google.com/spreadsheets/d/1PxCqdhsYuclWP4YxINygEEbUk0-3biVI1Bsh0Z-YhJw/edit?usp=drivesdk" TargetMode="External"/><Relationship Id="rId438" Type="http://schemas.openxmlformats.org/officeDocument/2006/relationships/hyperlink" Target="https://drive.google.com/drive/folders/1R7iz0gmoqTmV-yQLqAg8jz1_Gw7aNA2a" TargetMode="External"/><Relationship Id="rId439" Type="http://schemas.openxmlformats.org/officeDocument/2006/relationships/hyperlink" Target="https://docs.google.com/spreadsheets/d/1wBYARUiy31q5t82h0qYt8USybcER-wyoibwodK8jgPg/edit?usp=drivesdk" TargetMode="External"/><Relationship Id="rId440" Type="http://schemas.openxmlformats.org/officeDocument/2006/relationships/hyperlink" Target="https://drive.google.com/drive/folders/1R7iz0gmoqTmV-yQLqAg8jz1_Gw7aNA2a" TargetMode="External"/><Relationship Id="rId441" Type="http://schemas.openxmlformats.org/officeDocument/2006/relationships/hyperlink" Target="https://docs.google.com/spreadsheets/d/1b80bO5xz-JP3A2bUaLzpIyGTDKjyeLRYmOywGXwXXSM/edit?usp=drivesdk" TargetMode="External"/><Relationship Id="rId442" Type="http://schemas.openxmlformats.org/officeDocument/2006/relationships/hyperlink" Target="https://drive.google.com/drive/folders/1R7iz0gmoqTmV-yQLqAg8jz1_Gw7aNA2a" TargetMode="External"/><Relationship Id="rId443" Type="http://schemas.openxmlformats.org/officeDocument/2006/relationships/hyperlink" Target="https://docs.google.com/spreadsheets/d/1b80bO5xz-JP3A2bUaLzpIyGTDKjyeLRYmOywGXwXXSM/edit?usp=drivesdk" TargetMode="External"/><Relationship Id="rId444" Type="http://schemas.openxmlformats.org/officeDocument/2006/relationships/hyperlink" Target="https://drive.google.com/drive/folders/1R7iz0gmoqTmV-yQLqAg8jz1_Gw7aNA2a" TargetMode="External"/><Relationship Id="rId445" Type="http://schemas.openxmlformats.org/officeDocument/2006/relationships/hyperlink" Target="https://docs.google.com/spreadsheets/d/1UvVrLRDej9983lmZcOPGCZUpzb7qvlO5xDEyn7ov4wI/edit?usp=drivesdk" TargetMode="External"/><Relationship Id="rId446" Type="http://schemas.openxmlformats.org/officeDocument/2006/relationships/hyperlink" Target="https://drive.google.com/drive/folders/1eybgu-dtXO-QRSJloTe3UrdqxthysanV" TargetMode="External"/><Relationship Id="rId447" Type="http://schemas.openxmlformats.org/officeDocument/2006/relationships/hyperlink" Target="https://docs.google.com/spreadsheets/d/1xuKABIecEdDleyrmaRFrVJS4tTNq40k0wwtbHGJD-KY/edit?usp=drivesdk" TargetMode="External"/><Relationship Id="rId448" Type="http://schemas.openxmlformats.org/officeDocument/2006/relationships/hyperlink" Target="https://drive.google.com/drive/folders/18rpwQIP7WIJcExSOQ574qVJNPxP_B6oZ" TargetMode="External"/><Relationship Id="rId449" Type="http://schemas.openxmlformats.org/officeDocument/2006/relationships/hyperlink" Target="https://docs.google.com/spreadsheets/d/1agsFf7BM8Q_0lzKzchuTW6aPB1QPWg4CIQ7yQdo_L_w/edit?usp=drive_link" TargetMode="External"/><Relationship Id="rId450" Type="http://schemas.openxmlformats.org/officeDocument/2006/relationships/hyperlink" Target="https://drive.google.com/drive/folders/18rpwQIP7WIJcExSOQ574qVJNPxP_B6oZ?usp=drive_link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1" sqref="GI63:GI64 B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4.75"/>
    <col collapsed="false" customWidth="true" hidden="false" outlineLevel="0" max="2" min="2" style="0" width="74.25"/>
    <col collapsed="false" customWidth="true" hidden="false" outlineLevel="0" max="3" min="3" style="0" width="20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L1" s="2" t="s">
        <v>3</v>
      </c>
    </row>
    <row r="2" customFormat="false" ht="15.75" hidden="false" customHeight="false" outlineLevel="0" collapsed="false">
      <c r="A2" s="3" t="s">
        <v>4</v>
      </c>
      <c r="B2" s="1"/>
      <c r="C2" s="3" t="s">
        <v>5</v>
      </c>
      <c r="L2" s="4" t="n">
        <v>2026</v>
      </c>
    </row>
    <row r="3" customFormat="false" ht="15.75" hidden="false" customHeight="false" outlineLevel="0" collapsed="false">
      <c r="A3" s="3" t="s">
        <v>6</v>
      </c>
      <c r="B3" s="1"/>
      <c r="C3" s="3" t="s">
        <v>7</v>
      </c>
      <c r="L3" s="4" t="n">
        <v>2027</v>
      </c>
    </row>
    <row r="4" customFormat="false" ht="15.75" hidden="false" customHeight="false" outlineLevel="0" collapsed="false">
      <c r="A4" s="3" t="s">
        <v>8</v>
      </c>
      <c r="B4" s="1"/>
      <c r="C4" s="3" t="s">
        <v>9</v>
      </c>
      <c r="L4" s="4" t="n">
        <v>2028</v>
      </c>
    </row>
    <row r="5" customFormat="false" ht="15.75" hidden="false" customHeight="false" outlineLevel="0" collapsed="false">
      <c r="A5" s="3" t="s">
        <v>10</v>
      </c>
      <c r="B5" s="5"/>
      <c r="C5" s="3" t="s">
        <v>11</v>
      </c>
      <c r="L5" s="4" t="n">
        <v>2029</v>
      </c>
    </row>
    <row r="6" customFormat="false" ht="15.75" hidden="false" customHeight="false" outlineLevel="0" collapsed="false">
      <c r="A6" s="3" t="s">
        <v>12</v>
      </c>
      <c r="B6" s="6"/>
      <c r="C6" s="3" t="s">
        <v>13</v>
      </c>
      <c r="L6" s="4" t="n">
        <v>2030</v>
      </c>
    </row>
    <row r="7" customFormat="false" ht="15.75" hidden="false" customHeight="false" outlineLevel="0" collapsed="false">
      <c r="A7" s="3" t="s">
        <v>14</v>
      </c>
      <c r="B7" s="1"/>
      <c r="C7" s="3" t="s">
        <v>15</v>
      </c>
      <c r="L7" s="4" t="n">
        <v>2031</v>
      </c>
    </row>
    <row r="8" customFormat="false" ht="15.75" hidden="false" customHeight="false" outlineLevel="0" collapsed="false">
      <c r="A8" s="3" t="s">
        <v>16</v>
      </c>
      <c r="B8" s="6"/>
      <c r="C8" s="3" t="s">
        <v>17</v>
      </c>
      <c r="L8" s="4" t="n">
        <v>2032</v>
      </c>
    </row>
    <row r="9" customFormat="false" ht="15.75" hidden="false" customHeight="false" outlineLevel="0" collapsed="false">
      <c r="A9" s="3" t="s">
        <v>18</v>
      </c>
      <c r="B9" s="1"/>
      <c r="C9" s="3" t="s">
        <v>19</v>
      </c>
      <c r="L9" s="4" t="n">
        <v>2033</v>
      </c>
    </row>
    <row r="10" customFormat="false" ht="15.75" hidden="false" customHeight="false" outlineLevel="0" collapsed="false">
      <c r="A10" s="3" t="s">
        <v>20</v>
      </c>
      <c r="B10" s="1"/>
      <c r="C10" s="3"/>
      <c r="L10" s="4" t="n">
        <v>2034</v>
      </c>
    </row>
    <row r="11" customFormat="false" ht="15.75" hidden="false" customHeight="false" outlineLevel="0" collapsed="false">
      <c r="A11" s="3" t="s">
        <v>21</v>
      </c>
      <c r="B11" s="1"/>
      <c r="C11" s="3" t="s">
        <v>22</v>
      </c>
      <c r="L11" s="4" t="n">
        <v>2035</v>
      </c>
    </row>
    <row r="12" customFormat="false" ht="15.75" hidden="false" customHeight="false" outlineLevel="0" collapsed="false">
      <c r="A12" s="3" t="s">
        <v>23</v>
      </c>
      <c r="B12" s="7"/>
      <c r="C12" s="3" t="s">
        <v>24</v>
      </c>
      <c r="L12" s="4" t="n">
        <v>2036</v>
      </c>
    </row>
    <row r="13" customFormat="false" ht="15.75" hidden="false" customHeight="false" outlineLevel="0" collapsed="false">
      <c r="A13" s="3" t="s">
        <v>25</v>
      </c>
      <c r="B13" s="8"/>
    </row>
    <row r="14" customFormat="false" ht="15.75" hidden="false" customHeight="false" outlineLevel="0" collapsed="false">
      <c r="A14" s="3" t="s">
        <v>26</v>
      </c>
      <c r="B14" s="1"/>
      <c r="C14" s="3" t="s">
        <v>27</v>
      </c>
    </row>
    <row r="15" customFormat="false" ht="15.75" hidden="false" customHeight="false" outlineLevel="0" collapsed="false">
      <c r="A15" s="3" t="s">
        <v>28</v>
      </c>
      <c r="B15" s="1"/>
      <c r="C15" s="3" t="s">
        <v>29</v>
      </c>
    </row>
    <row r="16" customFormat="false" ht="15.75" hidden="false" customHeight="false" outlineLevel="0" collapsed="false">
      <c r="B16" s="1"/>
    </row>
    <row r="17" customFormat="false" ht="15.75" hidden="false" customHeight="false" outlineLevel="0" collapsed="false">
      <c r="B17" s="1"/>
    </row>
    <row r="18" customFormat="false" ht="15.75" hidden="false" customHeight="false" outlineLevel="0" collapsed="false">
      <c r="B18" s="1"/>
    </row>
    <row r="19" customFormat="false" ht="15.75" hidden="false" customHeight="false" outlineLevel="0" collapsed="false">
      <c r="B19" s="1"/>
    </row>
    <row r="20" customFormat="false" ht="15.75" hidden="false" customHeight="false" outlineLevel="0" collapsed="false">
      <c r="B20" s="1"/>
    </row>
    <row r="21" customFormat="false" ht="15.75" hidden="false" customHeight="false" outlineLevel="0" collapsed="false">
      <c r="B21" s="1"/>
    </row>
    <row r="22" customFormat="false" ht="15.75" hidden="false" customHeight="false" outlineLevel="0" collapsed="false">
      <c r="B22" s="1"/>
    </row>
    <row r="23" customFormat="false" ht="15.75" hidden="false" customHeight="false" outlineLevel="0" collapsed="false">
      <c r="B23" s="1"/>
    </row>
    <row r="24" customFormat="false" ht="15.75" hidden="false" customHeight="false" outlineLevel="0" collapsed="false">
      <c r="B24" s="1"/>
    </row>
    <row r="25" customFormat="false" ht="15.75" hidden="false" customHeight="false" outlineLevel="0" collapsed="false">
      <c r="B25" s="1"/>
    </row>
    <row r="26" customFormat="false" ht="15.75" hidden="false" customHeight="false" outlineLevel="0" collapsed="false">
      <c r="B26" s="1"/>
    </row>
    <row r="27" customFormat="false" ht="15.75" hidden="false" customHeight="false" outlineLevel="0" collapsed="false">
      <c r="B27" s="1"/>
    </row>
    <row r="28" customFormat="false" ht="15.75" hidden="false" customHeight="false" outlineLevel="0" collapsed="false">
      <c r="B28" s="1"/>
    </row>
    <row r="29" customFormat="false" ht="15.75" hidden="false" customHeight="false" outlineLevel="0" collapsed="false">
      <c r="B29" s="1"/>
    </row>
    <row r="30" customFormat="false" ht="15.75" hidden="false" customHeight="false" outlineLevel="0" collapsed="false">
      <c r="B30" s="1"/>
    </row>
    <row r="31" customFormat="false" ht="15.75" hidden="false" customHeight="false" outlineLevel="0" collapsed="false">
      <c r="B31" s="1"/>
    </row>
    <row r="32" customFormat="false" ht="15.75" hidden="false" customHeight="false" outlineLevel="0" collapsed="false">
      <c r="B32" s="1"/>
    </row>
    <row r="33" customFormat="false" ht="15.75" hidden="false" customHeight="false" outlineLevel="0" collapsed="false">
      <c r="B33" s="1"/>
    </row>
    <row r="34" customFormat="false" ht="15.75" hidden="false" customHeight="false" outlineLevel="0" collapsed="false">
      <c r="B34" s="1"/>
    </row>
    <row r="35" customFormat="false" ht="15.75" hidden="false" customHeight="false" outlineLevel="0" collapsed="false">
      <c r="B35" s="1"/>
    </row>
    <row r="36" customFormat="false" ht="15.75" hidden="false" customHeight="false" outlineLevel="0" collapsed="false">
      <c r="B36" s="1"/>
    </row>
    <row r="37" customFormat="false" ht="15.75" hidden="false" customHeight="false" outlineLevel="0" collapsed="false">
      <c r="B37" s="1"/>
    </row>
    <row r="38" customFormat="false" ht="15.75" hidden="false" customHeight="false" outlineLevel="0" collapsed="false">
      <c r="B38" s="1"/>
    </row>
    <row r="39" customFormat="false" ht="15.75" hidden="false" customHeight="false" outlineLevel="0" collapsed="false">
      <c r="B39" s="1"/>
    </row>
    <row r="40" customFormat="false" ht="15.75" hidden="false" customHeight="false" outlineLevel="0" collapsed="false">
      <c r="B40" s="1"/>
    </row>
    <row r="41" customFormat="false" ht="15.75" hidden="false" customHeight="false" outlineLevel="0" collapsed="false">
      <c r="B41" s="1"/>
    </row>
    <row r="42" customFormat="false" ht="15.75" hidden="false" customHeight="false" outlineLevel="0" collapsed="false">
      <c r="B42" s="1"/>
    </row>
    <row r="43" customFormat="false" ht="15.75" hidden="false" customHeight="false" outlineLevel="0" collapsed="false">
      <c r="B43" s="1"/>
    </row>
    <row r="44" customFormat="false" ht="15.75" hidden="false" customHeight="false" outlineLevel="0" collapsed="false">
      <c r="B44" s="1"/>
    </row>
    <row r="45" customFormat="false" ht="15.75" hidden="false" customHeight="false" outlineLevel="0" collapsed="false">
      <c r="B45" s="1"/>
    </row>
    <row r="46" customFormat="false" ht="15.75" hidden="false" customHeight="false" outlineLevel="0" collapsed="false">
      <c r="B46" s="1"/>
    </row>
    <row r="47" customFormat="false" ht="15.75" hidden="false" customHeight="false" outlineLevel="0" collapsed="false">
      <c r="B47" s="1"/>
    </row>
    <row r="48" customFormat="false" ht="15.75" hidden="false" customHeight="false" outlineLevel="0" collapsed="false">
      <c r="B48" s="1"/>
    </row>
    <row r="49" customFormat="false" ht="15.75" hidden="false" customHeight="false" outlineLevel="0" collapsed="false">
      <c r="B49" s="1"/>
    </row>
    <row r="50" customFormat="false" ht="15.75" hidden="false" customHeight="false" outlineLevel="0" collapsed="false">
      <c r="B50" s="1"/>
    </row>
    <row r="51" customFormat="false" ht="15.75" hidden="false" customHeight="false" outlineLevel="0" collapsed="false">
      <c r="B51" s="1"/>
    </row>
    <row r="52" customFormat="false" ht="15.75" hidden="false" customHeight="false" outlineLevel="0" collapsed="false">
      <c r="B52" s="1"/>
    </row>
    <row r="53" customFormat="false" ht="15.75" hidden="false" customHeight="false" outlineLevel="0" collapsed="false">
      <c r="B53" s="1"/>
    </row>
    <row r="54" customFormat="false" ht="15.75" hidden="false" customHeight="false" outlineLevel="0" collapsed="false">
      <c r="B54" s="1"/>
    </row>
    <row r="55" customFormat="false" ht="15.75" hidden="false" customHeight="false" outlineLevel="0" collapsed="false">
      <c r="B55" s="1"/>
    </row>
    <row r="56" customFormat="false" ht="15.75" hidden="false" customHeight="false" outlineLevel="0" collapsed="false">
      <c r="B56" s="1"/>
    </row>
    <row r="57" customFormat="false" ht="15.75" hidden="false" customHeight="false" outlineLevel="0" collapsed="false">
      <c r="B57" s="1"/>
    </row>
    <row r="58" customFormat="false" ht="15.75" hidden="false" customHeight="false" outlineLevel="0" collapsed="false">
      <c r="B58" s="1"/>
    </row>
    <row r="59" customFormat="false" ht="15.75" hidden="false" customHeight="false" outlineLevel="0" collapsed="false">
      <c r="B59" s="1"/>
    </row>
    <row r="60" customFormat="false" ht="15.75" hidden="false" customHeight="false" outlineLevel="0" collapsed="false">
      <c r="B60" s="1"/>
    </row>
    <row r="61" customFormat="false" ht="15.75" hidden="false" customHeight="false" outlineLevel="0" collapsed="false">
      <c r="B61" s="1"/>
    </row>
    <row r="62" customFormat="false" ht="15.75" hidden="false" customHeight="false" outlineLevel="0" collapsed="false">
      <c r="B62" s="1"/>
    </row>
    <row r="63" customFormat="false" ht="15.75" hidden="false" customHeight="false" outlineLevel="0" collapsed="false">
      <c r="B63" s="1"/>
    </row>
    <row r="64" customFormat="false" ht="15.75" hidden="false" customHeight="false" outlineLevel="0" collapsed="false">
      <c r="B64" s="1"/>
    </row>
    <row r="65" customFormat="false" ht="15.75" hidden="false" customHeight="false" outlineLevel="0" collapsed="false">
      <c r="B65" s="1"/>
    </row>
    <row r="66" customFormat="false" ht="15.75" hidden="false" customHeight="false" outlineLevel="0" collapsed="false">
      <c r="B66" s="1"/>
    </row>
    <row r="67" customFormat="false" ht="15.75" hidden="false" customHeight="false" outlineLevel="0" collapsed="false">
      <c r="B67" s="1"/>
    </row>
    <row r="68" customFormat="false" ht="15.75" hidden="false" customHeight="false" outlineLevel="0" collapsed="false">
      <c r="B68" s="1"/>
    </row>
    <row r="69" customFormat="false" ht="15.75" hidden="false" customHeight="false" outlineLevel="0" collapsed="false">
      <c r="B69" s="1"/>
    </row>
    <row r="70" customFormat="false" ht="15.75" hidden="false" customHeight="false" outlineLevel="0" collapsed="false">
      <c r="B70" s="1"/>
    </row>
    <row r="71" customFormat="false" ht="15.75" hidden="false" customHeight="false" outlineLevel="0" collapsed="false">
      <c r="B71" s="1"/>
    </row>
    <row r="72" customFormat="false" ht="15.75" hidden="false" customHeight="false" outlineLevel="0" collapsed="false">
      <c r="B72" s="1"/>
    </row>
    <row r="73" customFormat="false" ht="15.75" hidden="false" customHeight="false" outlineLevel="0" collapsed="false">
      <c r="B73" s="1"/>
    </row>
    <row r="74" customFormat="false" ht="15.75" hidden="false" customHeight="false" outlineLevel="0" collapsed="false">
      <c r="B74" s="1"/>
    </row>
    <row r="75" customFormat="false" ht="15.75" hidden="false" customHeight="false" outlineLevel="0" collapsed="false">
      <c r="B75" s="1"/>
    </row>
    <row r="76" customFormat="false" ht="15.75" hidden="false" customHeight="false" outlineLevel="0" collapsed="false">
      <c r="B76" s="1"/>
    </row>
    <row r="77" customFormat="false" ht="15.75" hidden="false" customHeight="false" outlineLevel="0" collapsed="false">
      <c r="B77" s="1"/>
    </row>
    <row r="78" customFormat="false" ht="15.75" hidden="false" customHeight="false" outlineLevel="0" collapsed="false">
      <c r="B78" s="1"/>
    </row>
    <row r="79" customFormat="false" ht="15.75" hidden="false" customHeight="false" outlineLevel="0" collapsed="false">
      <c r="B79" s="1"/>
    </row>
    <row r="80" customFormat="false" ht="15.75" hidden="false" customHeight="false" outlineLevel="0" collapsed="false">
      <c r="B80" s="1"/>
    </row>
    <row r="81" customFormat="false" ht="15.75" hidden="false" customHeight="false" outlineLevel="0" collapsed="false">
      <c r="B81" s="1"/>
    </row>
    <row r="82" customFormat="false" ht="15.75" hidden="false" customHeight="false" outlineLevel="0" collapsed="false">
      <c r="B82" s="1"/>
    </row>
    <row r="83" customFormat="false" ht="15.75" hidden="false" customHeight="false" outlineLevel="0" collapsed="false">
      <c r="B83" s="1"/>
    </row>
    <row r="84" customFormat="false" ht="15.75" hidden="false" customHeight="false" outlineLevel="0" collapsed="false">
      <c r="B84" s="1"/>
    </row>
    <row r="85" customFormat="false" ht="15.75" hidden="false" customHeight="false" outlineLevel="0" collapsed="false">
      <c r="B85" s="1"/>
    </row>
    <row r="86" customFormat="false" ht="15.75" hidden="false" customHeight="false" outlineLevel="0" collapsed="false">
      <c r="B86" s="1"/>
    </row>
    <row r="87" customFormat="false" ht="15.75" hidden="false" customHeight="false" outlineLevel="0" collapsed="false">
      <c r="B87" s="1"/>
    </row>
    <row r="88" customFormat="false" ht="15.75" hidden="false" customHeight="false" outlineLevel="0" collapsed="false">
      <c r="B88" s="1"/>
    </row>
    <row r="89" customFormat="false" ht="15.75" hidden="false" customHeight="false" outlineLevel="0" collapsed="false">
      <c r="B89" s="1"/>
    </row>
    <row r="90" customFormat="false" ht="15.75" hidden="false" customHeight="false" outlineLevel="0" collapsed="false">
      <c r="B90" s="1"/>
    </row>
    <row r="91" customFormat="false" ht="15.75" hidden="false" customHeight="false" outlineLevel="0" collapsed="false">
      <c r="B91" s="1"/>
    </row>
    <row r="92" customFormat="false" ht="15.75" hidden="false" customHeight="false" outlineLevel="0" collapsed="false">
      <c r="B92" s="1"/>
    </row>
    <row r="93" customFormat="false" ht="15.75" hidden="false" customHeight="false" outlineLevel="0" collapsed="false">
      <c r="B93" s="1"/>
    </row>
    <row r="94" customFormat="false" ht="15.75" hidden="false" customHeight="false" outlineLevel="0" collapsed="false">
      <c r="B94" s="1"/>
    </row>
    <row r="95" customFormat="false" ht="15.75" hidden="false" customHeight="false" outlineLevel="0" collapsed="false">
      <c r="B95" s="1"/>
    </row>
    <row r="96" customFormat="false" ht="15.75" hidden="false" customHeight="false" outlineLevel="0" collapsed="false">
      <c r="B96" s="1"/>
    </row>
    <row r="97" customFormat="false" ht="15.75" hidden="false" customHeight="false" outlineLevel="0" collapsed="false">
      <c r="B97" s="1"/>
    </row>
    <row r="98" customFormat="false" ht="15.75" hidden="false" customHeight="false" outlineLevel="0" collapsed="false">
      <c r="B98" s="1"/>
    </row>
    <row r="99" customFormat="false" ht="15.75" hidden="false" customHeight="false" outlineLevel="0" collapsed="false">
      <c r="B99" s="1"/>
    </row>
    <row r="100" customFormat="false" ht="15.75" hidden="false" customHeight="false" outlineLevel="0" collapsed="false">
      <c r="B100" s="1"/>
    </row>
    <row r="101" customFormat="false" ht="15.75" hidden="false" customHeight="false" outlineLevel="0" collapsed="false">
      <c r="B101" s="1"/>
    </row>
    <row r="102" customFormat="false" ht="15.75" hidden="false" customHeight="false" outlineLevel="0" collapsed="false">
      <c r="B102" s="1"/>
    </row>
    <row r="103" customFormat="false" ht="15.75" hidden="false" customHeight="false" outlineLevel="0" collapsed="false">
      <c r="B103" s="1"/>
    </row>
    <row r="104" customFormat="false" ht="15.75" hidden="false" customHeight="false" outlineLevel="0" collapsed="false">
      <c r="B104" s="1"/>
    </row>
    <row r="105" customFormat="false" ht="15.75" hidden="false" customHeight="false" outlineLevel="0" collapsed="false">
      <c r="B105" s="1"/>
    </row>
    <row r="106" customFormat="false" ht="15.75" hidden="false" customHeight="false" outlineLevel="0" collapsed="false">
      <c r="B106" s="1"/>
    </row>
    <row r="107" customFormat="false" ht="15.75" hidden="false" customHeight="false" outlineLevel="0" collapsed="false">
      <c r="B107" s="1"/>
    </row>
    <row r="108" customFormat="false" ht="15.75" hidden="false" customHeight="false" outlineLevel="0" collapsed="false">
      <c r="B108" s="1"/>
    </row>
    <row r="109" customFormat="false" ht="15.75" hidden="false" customHeight="false" outlineLevel="0" collapsed="false">
      <c r="B109" s="1"/>
    </row>
    <row r="110" customFormat="false" ht="15.75" hidden="false" customHeight="false" outlineLevel="0" collapsed="false">
      <c r="B110" s="1"/>
    </row>
    <row r="111" customFormat="false" ht="15.75" hidden="false" customHeight="false" outlineLevel="0" collapsed="false">
      <c r="B111" s="1"/>
    </row>
    <row r="112" customFormat="false" ht="15.75" hidden="false" customHeight="false" outlineLevel="0" collapsed="false">
      <c r="B112" s="1"/>
    </row>
    <row r="113" customFormat="false" ht="15.75" hidden="false" customHeight="false" outlineLevel="0" collapsed="false">
      <c r="B113" s="1"/>
    </row>
    <row r="114" customFormat="false" ht="15.75" hidden="false" customHeight="false" outlineLevel="0" collapsed="false">
      <c r="B114" s="1"/>
    </row>
    <row r="115" customFormat="false" ht="15.75" hidden="false" customHeight="false" outlineLevel="0" collapsed="false">
      <c r="B115" s="1"/>
    </row>
    <row r="116" customFormat="false" ht="15.75" hidden="false" customHeight="false" outlineLevel="0" collapsed="false">
      <c r="B116" s="1"/>
    </row>
    <row r="117" customFormat="false" ht="15.75" hidden="false" customHeight="false" outlineLevel="0" collapsed="false">
      <c r="B117" s="1"/>
    </row>
    <row r="118" customFormat="false" ht="15.75" hidden="false" customHeight="false" outlineLevel="0" collapsed="false">
      <c r="B118" s="1"/>
    </row>
    <row r="119" customFormat="false" ht="15.75" hidden="false" customHeight="false" outlineLevel="0" collapsed="false">
      <c r="B119" s="1"/>
    </row>
    <row r="120" customFormat="false" ht="15.75" hidden="false" customHeight="false" outlineLevel="0" collapsed="false">
      <c r="B120" s="1"/>
    </row>
    <row r="121" customFormat="false" ht="15.75" hidden="false" customHeight="false" outlineLevel="0" collapsed="false">
      <c r="B121" s="1"/>
    </row>
    <row r="122" customFormat="false" ht="15.75" hidden="false" customHeight="false" outlineLevel="0" collapsed="false">
      <c r="B122" s="1"/>
    </row>
    <row r="123" customFormat="false" ht="15.75" hidden="false" customHeight="false" outlineLevel="0" collapsed="false">
      <c r="B123" s="1"/>
    </row>
    <row r="124" customFormat="false" ht="15.75" hidden="false" customHeight="false" outlineLevel="0" collapsed="false">
      <c r="B124" s="1"/>
    </row>
    <row r="125" customFormat="false" ht="15.75" hidden="false" customHeight="false" outlineLevel="0" collapsed="false">
      <c r="B125" s="1"/>
    </row>
    <row r="126" customFormat="false" ht="15.75" hidden="false" customHeight="false" outlineLevel="0" collapsed="false">
      <c r="B126" s="1"/>
    </row>
    <row r="127" customFormat="false" ht="15.75" hidden="false" customHeight="false" outlineLevel="0" collapsed="false">
      <c r="B127" s="1"/>
    </row>
    <row r="128" customFormat="false" ht="15.75" hidden="false" customHeight="false" outlineLevel="0" collapsed="false">
      <c r="B128" s="1"/>
    </row>
    <row r="129" customFormat="false" ht="15.75" hidden="false" customHeight="false" outlineLevel="0" collapsed="false">
      <c r="B129" s="1"/>
    </row>
    <row r="130" customFormat="false" ht="15.75" hidden="false" customHeight="false" outlineLevel="0" collapsed="false">
      <c r="B130" s="1"/>
    </row>
    <row r="131" customFormat="false" ht="15.75" hidden="false" customHeight="false" outlineLevel="0" collapsed="false">
      <c r="B131" s="1"/>
    </row>
    <row r="132" customFormat="false" ht="15.75" hidden="false" customHeight="false" outlineLevel="0" collapsed="false">
      <c r="B132" s="1"/>
    </row>
    <row r="133" customFormat="false" ht="15.75" hidden="false" customHeight="false" outlineLevel="0" collapsed="false">
      <c r="B133" s="1"/>
    </row>
    <row r="134" customFormat="false" ht="15.75" hidden="false" customHeight="false" outlineLevel="0" collapsed="false">
      <c r="B134" s="1"/>
    </row>
    <row r="135" customFormat="false" ht="15.75" hidden="false" customHeight="false" outlineLevel="0" collapsed="false">
      <c r="B135" s="1"/>
    </row>
    <row r="136" customFormat="false" ht="15.75" hidden="false" customHeight="false" outlineLevel="0" collapsed="false">
      <c r="B136" s="1"/>
    </row>
    <row r="137" customFormat="false" ht="15.75" hidden="false" customHeight="false" outlineLevel="0" collapsed="false">
      <c r="B137" s="1"/>
    </row>
    <row r="138" customFormat="false" ht="15.75" hidden="false" customHeight="false" outlineLevel="0" collapsed="false">
      <c r="B138" s="1"/>
    </row>
    <row r="139" customFormat="false" ht="15.75" hidden="false" customHeight="false" outlineLevel="0" collapsed="false">
      <c r="B139" s="1"/>
    </row>
    <row r="140" customFormat="false" ht="15.75" hidden="false" customHeight="false" outlineLevel="0" collapsed="false">
      <c r="B140" s="1"/>
    </row>
    <row r="141" customFormat="false" ht="15.75" hidden="false" customHeight="false" outlineLevel="0" collapsed="false">
      <c r="B141" s="1"/>
    </row>
    <row r="142" customFormat="false" ht="15.75" hidden="false" customHeight="false" outlineLevel="0" collapsed="false">
      <c r="B142" s="1"/>
    </row>
    <row r="143" customFormat="false" ht="15.75" hidden="false" customHeight="false" outlineLevel="0" collapsed="false">
      <c r="B143" s="1"/>
    </row>
    <row r="144" customFormat="false" ht="15.75" hidden="false" customHeight="false" outlineLevel="0" collapsed="false">
      <c r="B144" s="1"/>
    </row>
    <row r="145" customFormat="false" ht="15.75" hidden="false" customHeight="false" outlineLevel="0" collapsed="false">
      <c r="B145" s="1"/>
    </row>
    <row r="146" customFormat="false" ht="15.75" hidden="false" customHeight="false" outlineLevel="0" collapsed="false">
      <c r="B146" s="1"/>
    </row>
    <row r="147" customFormat="false" ht="15.75" hidden="false" customHeight="false" outlineLevel="0" collapsed="false">
      <c r="B147" s="1"/>
    </row>
    <row r="148" customFormat="false" ht="15.75" hidden="false" customHeight="false" outlineLevel="0" collapsed="false">
      <c r="B148" s="1"/>
    </row>
    <row r="149" customFormat="false" ht="15.75" hidden="false" customHeight="false" outlineLevel="0" collapsed="false">
      <c r="B149" s="1"/>
    </row>
    <row r="150" customFormat="false" ht="15.75" hidden="false" customHeight="false" outlineLevel="0" collapsed="false">
      <c r="B150" s="1"/>
    </row>
    <row r="151" customFormat="false" ht="15.75" hidden="false" customHeight="false" outlineLevel="0" collapsed="false">
      <c r="B151" s="1"/>
    </row>
    <row r="152" customFormat="false" ht="15.75" hidden="false" customHeight="false" outlineLevel="0" collapsed="false">
      <c r="B152" s="1"/>
    </row>
    <row r="153" customFormat="false" ht="15.75" hidden="false" customHeight="false" outlineLevel="0" collapsed="false">
      <c r="B153" s="1"/>
    </row>
    <row r="154" customFormat="false" ht="15.75" hidden="false" customHeight="false" outlineLevel="0" collapsed="false">
      <c r="B154" s="1"/>
    </row>
    <row r="155" customFormat="false" ht="15.75" hidden="false" customHeight="false" outlineLevel="0" collapsed="false">
      <c r="B155" s="1"/>
    </row>
    <row r="156" customFormat="false" ht="15.75" hidden="false" customHeight="false" outlineLevel="0" collapsed="false">
      <c r="B156" s="1"/>
    </row>
    <row r="157" customFormat="false" ht="15.75" hidden="false" customHeight="false" outlineLevel="0" collapsed="false">
      <c r="B157" s="1"/>
    </row>
    <row r="158" customFormat="false" ht="15.75" hidden="false" customHeight="false" outlineLevel="0" collapsed="false">
      <c r="B158" s="1"/>
    </row>
    <row r="159" customFormat="false" ht="15.75" hidden="false" customHeight="false" outlineLevel="0" collapsed="false">
      <c r="B159" s="1"/>
    </row>
    <row r="160" customFormat="false" ht="15.75" hidden="false" customHeight="false" outlineLevel="0" collapsed="false">
      <c r="B160" s="1"/>
    </row>
    <row r="161" customFormat="false" ht="15.75" hidden="false" customHeight="false" outlineLevel="0" collapsed="false">
      <c r="B161" s="1"/>
    </row>
    <row r="162" customFormat="false" ht="15.75" hidden="false" customHeight="false" outlineLevel="0" collapsed="false">
      <c r="B162" s="1"/>
    </row>
    <row r="163" customFormat="false" ht="15.75" hidden="false" customHeight="false" outlineLevel="0" collapsed="false">
      <c r="B163" s="1"/>
    </row>
    <row r="164" customFormat="false" ht="15.75" hidden="false" customHeight="false" outlineLevel="0" collapsed="false">
      <c r="B164" s="1"/>
    </row>
    <row r="165" customFormat="false" ht="15.75" hidden="false" customHeight="false" outlineLevel="0" collapsed="false">
      <c r="B165" s="1"/>
    </row>
    <row r="166" customFormat="false" ht="15.75" hidden="false" customHeight="false" outlineLevel="0" collapsed="false">
      <c r="B166" s="1"/>
    </row>
    <row r="167" customFormat="false" ht="15.75" hidden="false" customHeight="false" outlineLevel="0" collapsed="false">
      <c r="B167" s="1"/>
    </row>
    <row r="168" customFormat="false" ht="15.75" hidden="false" customHeight="false" outlineLevel="0" collapsed="false">
      <c r="B168" s="1"/>
    </row>
    <row r="169" customFormat="false" ht="15.75" hidden="false" customHeight="false" outlineLevel="0" collapsed="false">
      <c r="B169" s="1"/>
    </row>
    <row r="170" customFormat="false" ht="15.75" hidden="false" customHeight="false" outlineLevel="0" collapsed="false">
      <c r="B170" s="1"/>
    </row>
    <row r="171" customFormat="false" ht="15.75" hidden="false" customHeight="false" outlineLevel="0" collapsed="false">
      <c r="B171" s="1"/>
    </row>
    <row r="172" customFormat="false" ht="15.75" hidden="false" customHeight="false" outlineLevel="0" collapsed="false">
      <c r="B172" s="1"/>
    </row>
    <row r="173" customFormat="false" ht="15.75" hidden="false" customHeight="false" outlineLevel="0" collapsed="false">
      <c r="B173" s="1"/>
    </row>
    <row r="174" customFormat="false" ht="15.75" hidden="false" customHeight="false" outlineLevel="0" collapsed="false">
      <c r="B174" s="1"/>
    </row>
    <row r="175" customFormat="false" ht="15.75" hidden="false" customHeight="false" outlineLevel="0" collapsed="false">
      <c r="B175" s="1"/>
    </row>
    <row r="176" customFormat="false" ht="15.75" hidden="false" customHeight="false" outlineLevel="0" collapsed="false">
      <c r="B176" s="1"/>
    </row>
    <row r="177" customFormat="false" ht="15.75" hidden="false" customHeight="false" outlineLevel="0" collapsed="false">
      <c r="B177" s="1"/>
    </row>
    <row r="178" customFormat="false" ht="15.75" hidden="false" customHeight="false" outlineLevel="0" collapsed="false">
      <c r="B178" s="1"/>
    </row>
    <row r="179" customFormat="false" ht="15.75" hidden="false" customHeight="false" outlineLevel="0" collapsed="false">
      <c r="B179" s="1"/>
    </row>
    <row r="180" customFormat="false" ht="15.75" hidden="false" customHeight="false" outlineLevel="0" collapsed="false">
      <c r="B180" s="1"/>
    </row>
    <row r="181" customFormat="false" ht="15.75" hidden="false" customHeight="false" outlineLevel="0" collapsed="false">
      <c r="B181" s="1"/>
    </row>
    <row r="182" customFormat="false" ht="15.75" hidden="false" customHeight="false" outlineLevel="0" collapsed="false">
      <c r="B182" s="1"/>
    </row>
    <row r="183" customFormat="false" ht="15.75" hidden="false" customHeight="false" outlineLevel="0" collapsed="false">
      <c r="B183" s="1"/>
    </row>
    <row r="184" customFormat="false" ht="15.75" hidden="false" customHeight="false" outlineLevel="0" collapsed="false">
      <c r="B184" s="1"/>
    </row>
    <row r="185" customFormat="false" ht="15.75" hidden="false" customHeight="false" outlineLevel="0" collapsed="false">
      <c r="B185" s="1"/>
    </row>
    <row r="186" customFormat="false" ht="15.75" hidden="false" customHeight="false" outlineLevel="0" collapsed="false">
      <c r="B186" s="1"/>
    </row>
    <row r="187" customFormat="false" ht="15.75" hidden="false" customHeight="false" outlineLevel="0" collapsed="false">
      <c r="B187" s="1"/>
    </row>
    <row r="188" customFormat="false" ht="15.75" hidden="false" customHeight="false" outlineLevel="0" collapsed="false">
      <c r="B188" s="1"/>
    </row>
    <row r="189" customFormat="false" ht="15.75" hidden="false" customHeight="false" outlineLevel="0" collapsed="false">
      <c r="B189" s="1"/>
    </row>
    <row r="190" customFormat="false" ht="15.75" hidden="false" customHeight="false" outlineLevel="0" collapsed="false">
      <c r="B190" s="1"/>
    </row>
    <row r="191" customFormat="false" ht="15.75" hidden="false" customHeight="false" outlineLevel="0" collapsed="false">
      <c r="B191" s="1"/>
    </row>
    <row r="192" customFormat="false" ht="15.75" hidden="false" customHeight="false" outlineLevel="0" collapsed="false">
      <c r="B192" s="1"/>
    </row>
    <row r="193" customFormat="false" ht="15.75" hidden="false" customHeight="false" outlineLevel="0" collapsed="false">
      <c r="B193" s="1"/>
    </row>
    <row r="194" customFormat="false" ht="15.75" hidden="false" customHeight="false" outlineLevel="0" collapsed="false">
      <c r="B194" s="1"/>
    </row>
    <row r="195" customFormat="false" ht="15.75" hidden="false" customHeight="false" outlineLevel="0" collapsed="false">
      <c r="B195" s="1"/>
    </row>
    <row r="196" customFormat="false" ht="15.75" hidden="false" customHeight="false" outlineLevel="0" collapsed="false">
      <c r="B196" s="1"/>
    </row>
    <row r="197" customFormat="false" ht="15.75" hidden="false" customHeight="false" outlineLevel="0" collapsed="false">
      <c r="B197" s="1"/>
    </row>
    <row r="198" customFormat="false" ht="15.75" hidden="false" customHeight="false" outlineLevel="0" collapsed="false">
      <c r="B198" s="1"/>
    </row>
    <row r="199" customFormat="false" ht="15.75" hidden="false" customHeight="false" outlineLevel="0" collapsed="false">
      <c r="B199" s="1"/>
    </row>
    <row r="200" customFormat="false" ht="15.75" hidden="false" customHeight="false" outlineLevel="0" collapsed="false">
      <c r="B200" s="1"/>
    </row>
    <row r="201" customFormat="false" ht="15.75" hidden="false" customHeight="false" outlineLevel="0" collapsed="false">
      <c r="B201" s="1"/>
    </row>
    <row r="202" customFormat="false" ht="15.75" hidden="false" customHeight="false" outlineLevel="0" collapsed="false">
      <c r="B202" s="1"/>
    </row>
    <row r="203" customFormat="false" ht="15.75" hidden="false" customHeight="false" outlineLevel="0" collapsed="false">
      <c r="B203" s="1"/>
    </row>
    <row r="204" customFormat="false" ht="15.75" hidden="false" customHeight="false" outlineLevel="0" collapsed="false">
      <c r="B204" s="1"/>
    </row>
    <row r="205" customFormat="false" ht="15.75" hidden="false" customHeight="false" outlineLevel="0" collapsed="false">
      <c r="B205" s="1"/>
    </row>
    <row r="206" customFormat="false" ht="15.75" hidden="false" customHeight="false" outlineLevel="0" collapsed="false">
      <c r="B206" s="1"/>
    </row>
    <row r="207" customFormat="false" ht="15.75" hidden="false" customHeight="false" outlineLevel="0" collapsed="false">
      <c r="B207" s="1"/>
    </row>
    <row r="208" customFormat="false" ht="15.75" hidden="false" customHeight="false" outlineLevel="0" collapsed="false">
      <c r="B208" s="1"/>
    </row>
    <row r="209" customFormat="false" ht="15.75" hidden="false" customHeight="false" outlineLevel="0" collapsed="false">
      <c r="B209" s="1"/>
    </row>
    <row r="210" customFormat="false" ht="15.75" hidden="false" customHeight="false" outlineLevel="0" collapsed="false">
      <c r="B210" s="1"/>
    </row>
    <row r="211" customFormat="false" ht="15.75" hidden="false" customHeight="false" outlineLevel="0" collapsed="false">
      <c r="B211" s="1"/>
    </row>
    <row r="212" customFormat="false" ht="15.75" hidden="false" customHeight="false" outlineLevel="0" collapsed="false">
      <c r="B212" s="1"/>
    </row>
    <row r="213" customFormat="false" ht="15.75" hidden="false" customHeight="false" outlineLevel="0" collapsed="false">
      <c r="B213" s="1"/>
    </row>
    <row r="214" customFormat="false" ht="15.75" hidden="false" customHeight="false" outlineLevel="0" collapsed="false">
      <c r="B214" s="1"/>
    </row>
    <row r="215" customFormat="false" ht="15.75" hidden="false" customHeight="false" outlineLevel="0" collapsed="false">
      <c r="B215" s="1"/>
    </row>
    <row r="216" customFormat="false" ht="15.75" hidden="false" customHeight="false" outlineLevel="0" collapsed="false">
      <c r="B216" s="1"/>
    </row>
    <row r="217" customFormat="false" ht="15.75" hidden="false" customHeight="false" outlineLevel="0" collapsed="false">
      <c r="B217" s="1"/>
    </row>
    <row r="218" customFormat="false" ht="15.75" hidden="false" customHeight="false" outlineLevel="0" collapsed="false">
      <c r="B218" s="1"/>
    </row>
    <row r="219" customFormat="false" ht="15.75" hidden="false" customHeight="false" outlineLevel="0" collapsed="false">
      <c r="B219" s="1"/>
    </row>
    <row r="220" customFormat="false" ht="15.75" hidden="false" customHeight="false" outlineLevel="0" collapsed="false">
      <c r="B220" s="1"/>
    </row>
    <row r="221" customFormat="false" ht="15.75" hidden="false" customHeight="false" outlineLevel="0" collapsed="false">
      <c r="B221" s="1"/>
    </row>
    <row r="222" customFormat="false" ht="15.75" hidden="false" customHeight="false" outlineLevel="0" collapsed="false">
      <c r="B222" s="1"/>
    </row>
    <row r="223" customFormat="false" ht="15.75" hidden="false" customHeight="false" outlineLevel="0" collapsed="false">
      <c r="B223" s="1"/>
    </row>
    <row r="224" customFormat="false" ht="15.75" hidden="false" customHeight="false" outlineLevel="0" collapsed="false">
      <c r="B224" s="1"/>
    </row>
    <row r="225" customFormat="false" ht="15.75" hidden="false" customHeight="false" outlineLevel="0" collapsed="false">
      <c r="B225" s="1"/>
    </row>
    <row r="226" customFormat="false" ht="15.75" hidden="false" customHeight="false" outlineLevel="0" collapsed="false">
      <c r="B226" s="1"/>
    </row>
    <row r="227" customFormat="false" ht="15.75" hidden="false" customHeight="false" outlineLevel="0" collapsed="false">
      <c r="B227" s="1"/>
    </row>
    <row r="228" customFormat="false" ht="15.75" hidden="false" customHeight="false" outlineLevel="0" collapsed="false">
      <c r="B228" s="1"/>
    </row>
    <row r="229" customFormat="false" ht="15.75" hidden="false" customHeight="false" outlineLevel="0" collapsed="false">
      <c r="B229" s="1"/>
    </row>
    <row r="230" customFormat="false" ht="15.75" hidden="false" customHeight="false" outlineLevel="0" collapsed="false">
      <c r="B230" s="1"/>
    </row>
    <row r="231" customFormat="false" ht="15.75" hidden="false" customHeight="false" outlineLevel="0" collapsed="false">
      <c r="B231" s="1"/>
    </row>
    <row r="232" customFormat="false" ht="15.75" hidden="false" customHeight="false" outlineLevel="0" collapsed="false">
      <c r="B232" s="1"/>
    </row>
    <row r="233" customFormat="false" ht="15.75" hidden="false" customHeight="false" outlineLevel="0" collapsed="false">
      <c r="B233" s="1"/>
    </row>
    <row r="234" customFormat="false" ht="15.75" hidden="false" customHeight="false" outlineLevel="0" collapsed="false">
      <c r="B234" s="1"/>
    </row>
    <row r="235" customFormat="false" ht="15.75" hidden="false" customHeight="false" outlineLevel="0" collapsed="false">
      <c r="B235" s="1"/>
    </row>
    <row r="236" customFormat="false" ht="15.75" hidden="false" customHeight="false" outlineLevel="0" collapsed="false">
      <c r="B236" s="1"/>
    </row>
    <row r="237" customFormat="false" ht="15.75" hidden="false" customHeight="false" outlineLevel="0" collapsed="false">
      <c r="B237" s="1"/>
    </row>
    <row r="238" customFormat="false" ht="15.75" hidden="false" customHeight="false" outlineLevel="0" collapsed="false">
      <c r="B238" s="1"/>
    </row>
    <row r="239" customFormat="false" ht="15.75" hidden="false" customHeight="false" outlineLevel="0" collapsed="false">
      <c r="B239" s="1"/>
    </row>
    <row r="240" customFormat="false" ht="15.75" hidden="false" customHeight="false" outlineLevel="0" collapsed="false">
      <c r="B240" s="1"/>
    </row>
    <row r="241" customFormat="false" ht="15.75" hidden="false" customHeight="false" outlineLevel="0" collapsed="false">
      <c r="B241" s="1"/>
    </row>
    <row r="242" customFormat="false" ht="15.75" hidden="false" customHeight="false" outlineLevel="0" collapsed="false">
      <c r="B242" s="1"/>
    </row>
    <row r="243" customFormat="false" ht="15.75" hidden="false" customHeight="false" outlineLevel="0" collapsed="false">
      <c r="B243" s="1"/>
    </row>
    <row r="244" customFormat="false" ht="15.75" hidden="false" customHeight="false" outlineLevel="0" collapsed="false">
      <c r="B244" s="1"/>
    </row>
    <row r="245" customFormat="false" ht="15.75" hidden="false" customHeight="false" outlineLevel="0" collapsed="false">
      <c r="B245" s="1"/>
    </row>
    <row r="246" customFormat="false" ht="15.75" hidden="false" customHeight="false" outlineLevel="0" collapsed="false">
      <c r="B246" s="1"/>
    </row>
    <row r="247" customFormat="false" ht="15.75" hidden="false" customHeight="false" outlineLevel="0" collapsed="false">
      <c r="B247" s="1"/>
    </row>
    <row r="248" customFormat="false" ht="15.75" hidden="false" customHeight="false" outlineLevel="0" collapsed="false">
      <c r="B248" s="1"/>
    </row>
    <row r="249" customFormat="false" ht="15.75" hidden="false" customHeight="false" outlineLevel="0" collapsed="false">
      <c r="B249" s="1"/>
    </row>
    <row r="250" customFormat="false" ht="15.75" hidden="false" customHeight="false" outlineLevel="0" collapsed="false">
      <c r="B250" s="1"/>
    </row>
    <row r="251" customFormat="false" ht="15.75" hidden="false" customHeight="false" outlineLevel="0" collapsed="false">
      <c r="B251" s="1"/>
    </row>
    <row r="252" customFormat="false" ht="15.75" hidden="false" customHeight="false" outlineLevel="0" collapsed="false">
      <c r="B252" s="1"/>
    </row>
    <row r="253" customFormat="false" ht="15.75" hidden="false" customHeight="false" outlineLevel="0" collapsed="false">
      <c r="B253" s="1"/>
    </row>
    <row r="254" customFormat="false" ht="15.75" hidden="false" customHeight="false" outlineLevel="0" collapsed="false">
      <c r="B254" s="1"/>
    </row>
    <row r="255" customFormat="false" ht="15.75" hidden="false" customHeight="false" outlineLevel="0" collapsed="false">
      <c r="B255" s="1"/>
    </row>
    <row r="256" customFormat="false" ht="15.75" hidden="false" customHeight="false" outlineLevel="0" collapsed="false">
      <c r="B256" s="1"/>
    </row>
    <row r="257" customFormat="false" ht="15.75" hidden="false" customHeight="false" outlineLevel="0" collapsed="false">
      <c r="B257" s="1"/>
    </row>
    <row r="258" customFormat="false" ht="15.75" hidden="false" customHeight="false" outlineLevel="0" collapsed="false">
      <c r="B258" s="1"/>
    </row>
    <row r="259" customFormat="false" ht="15.75" hidden="false" customHeight="false" outlineLevel="0" collapsed="false">
      <c r="B259" s="1"/>
    </row>
    <row r="260" customFormat="false" ht="15.75" hidden="false" customHeight="false" outlineLevel="0" collapsed="false">
      <c r="B260" s="1"/>
    </row>
    <row r="261" customFormat="false" ht="15.75" hidden="false" customHeight="false" outlineLevel="0" collapsed="false">
      <c r="B261" s="1"/>
    </row>
    <row r="262" customFormat="false" ht="15.75" hidden="false" customHeight="false" outlineLevel="0" collapsed="false">
      <c r="B262" s="1"/>
    </row>
    <row r="263" customFormat="false" ht="15.75" hidden="false" customHeight="false" outlineLevel="0" collapsed="false">
      <c r="B263" s="1"/>
    </row>
    <row r="264" customFormat="false" ht="15.75" hidden="false" customHeight="false" outlineLevel="0" collapsed="false">
      <c r="B264" s="1"/>
    </row>
    <row r="265" customFormat="false" ht="15.75" hidden="false" customHeight="false" outlineLevel="0" collapsed="false">
      <c r="B265" s="1"/>
    </row>
    <row r="266" customFormat="false" ht="15.75" hidden="false" customHeight="false" outlineLevel="0" collapsed="false">
      <c r="B266" s="1"/>
    </row>
    <row r="267" customFormat="false" ht="15.75" hidden="false" customHeight="false" outlineLevel="0" collapsed="false">
      <c r="B267" s="1"/>
    </row>
    <row r="268" customFormat="false" ht="15.75" hidden="false" customHeight="false" outlineLevel="0" collapsed="false">
      <c r="B268" s="1"/>
    </row>
    <row r="269" customFormat="false" ht="15.75" hidden="false" customHeight="false" outlineLevel="0" collapsed="false">
      <c r="B269" s="1"/>
    </row>
    <row r="270" customFormat="false" ht="15.75" hidden="false" customHeight="false" outlineLevel="0" collapsed="false">
      <c r="B270" s="1"/>
    </row>
    <row r="271" customFormat="false" ht="15.75" hidden="false" customHeight="false" outlineLevel="0" collapsed="false">
      <c r="B271" s="1"/>
    </row>
    <row r="272" customFormat="false" ht="15.75" hidden="false" customHeight="false" outlineLevel="0" collapsed="false">
      <c r="B272" s="1"/>
    </row>
    <row r="273" customFormat="false" ht="15.75" hidden="false" customHeight="false" outlineLevel="0" collapsed="false">
      <c r="B273" s="1"/>
    </row>
    <row r="274" customFormat="false" ht="15.75" hidden="false" customHeight="false" outlineLevel="0" collapsed="false">
      <c r="B274" s="1"/>
    </row>
    <row r="275" customFormat="false" ht="15.75" hidden="false" customHeight="false" outlineLevel="0" collapsed="false">
      <c r="B275" s="1"/>
    </row>
    <row r="276" customFormat="false" ht="15.75" hidden="false" customHeight="false" outlineLevel="0" collapsed="false">
      <c r="B276" s="1"/>
    </row>
    <row r="277" customFormat="false" ht="15.75" hidden="false" customHeight="false" outlineLevel="0" collapsed="false">
      <c r="B277" s="1"/>
    </row>
    <row r="278" customFormat="false" ht="15.75" hidden="false" customHeight="false" outlineLevel="0" collapsed="false">
      <c r="B278" s="1"/>
    </row>
    <row r="279" customFormat="false" ht="15.75" hidden="false" customHeight="false" outlineLevel="0" collapsed="false">
      <c r="B279" s="1"/>
    </row>
    <row r="280" customFormat="false" ht="15.75" hidden="false" customHeight="false" outlineLevel="0" collapsed="false">
      <c r="B280" s="1"/>
    </row>
    <row r="281" customFormat="false" ht="15.75" hidden="false" customHeight="false" outlineLevel="0" collapsed="false">
      <c r="B281" s="1"/>
    </row>
    <row r="282" customFormat="false" ht="15.75" hidden="false" customHeight="false" outlineLevel="0" collapsed="false">
      <c r="B282" s="1"/>
    </row>
    <row r="283" customFormat="false" ht="15.75" hidden="false" customHeight="false" outlineLevel="0" collapsed="false">
      <c r="B283" s="1"/>
    </row>
    <row r="284" customFormat="false" ht="15.75" hidden="false" customHeight="false" outlineLevel="0" collapsed="false">
      <c r="B284" s="1"/>
    </row>
    <row r="285" customFormat="false" ht="15.75" hidden="false" customHeight="false" outlineLevel="0" collapsed="false">
      <c r="B285" s="1"/>
    </row>
    <row r="286" customFormat="false" ht="15.75" hidden="false" customHeight="false" outlineLevel="0" collapsed="false">
      <c r="B286" s="1"/>
    </row>
    <row r="287" customFormat="false" ht="15.75" hidden="false" customHeight="false" outlineLevel="0" collapsed="false">
      <c r="B287" s="1"/>
    </row>
    <row r="288" customFormat="false" ht="15.75" hidden="false" customHeight="false" outlineLevel="0" collapsed="false">
      <c r="B288" s="1"/>
    </row>
    <row r="289" customFormat="false" ht="15.75" hidden="false" customHeight="false" outlineLevel="0" collapsed="false">
      <c r="B289" s="1"/>
    </row>
    <row r="290" customFormat="false" ht="15.75" hidden="false" customHeight="false" outlineLevel="0" collapsed="false">
      <c r="B290" s="1"/>
    </row>
    <row r="291" customFormat="false" ht="15.75" hidden="false" customHeight="false" outlineLevel="0" collapsed="false">
      <c r="B291" s="1"/>
    </row>
    <row r="292" customFormat="false" ht="15.75" hidden="false" customHeight="false" outlineLevel="0" collapsed="false">
      <c r="B292" s="1"/>
    </row>
    <row r="293" customFormat="false" ht="15.75" hidden="false" customHeight="false" outlineLevel="0" collapsed="false">
      <c r="B293" s="1"/>
    </row>
    <row r="294" customFormat="false" ht="15.75" hidden="false" customHeight="false" outlineLevel="0" collapsed="false">
      <c r="B294" s="1"/>
    </row>
    <row r="295" customFormat="false" ht="15.75" hidden="false" customHeight="false" outlineLevel="0" collapsed="false">
      <c r="B295" s="1"/>
    </row>
    <row r="296" customFormat="false" ht="15.75" hidden="false" customHeight="false" outlineLevel="0" collapsed="false">
      <c r="B296" s="1"/>
    </row>
    <row r="297" customFormat="false" ht="15.75" hidden="false" customHeight="false" outlineLevel="0" collapsed="false">
      <c r="B297" s="1"/>
    </row>
    <row r="298" customFormat="false" ht="15.75" hidden="false" customHeight="false" outlineLevel="0" collapsed="false">
      <c r="B298" s="1"/>
    </row>
    <row r="299" customFormat="false" ht="15.75" hidden="false" customHeight="false" outlineLevel="0" collapsed="false">
      <c r="B299" s="1"/>
    </row>
    <row r="300" customFormat="false" ht="15.75" hidden="false" customHeight="false" outlineLevel="0" collapsed="false">
      <c r="B300" s="1"/>
    </row>
    <row r="301" customFormat="false" ht="15.75" hidden="false" customHeight="false" outlineLevel="0" collapsed="false">
      <c r="B301" s="1"/>
    </row>
    <row r="302" customFormat="false" ht="15.75" hidden="false" customHeight="false" outlineLevel="0" collapsed="false">
      <c r="B302" s="1"/>
    </row>
    <row r="303" customFormat="false" ht="15.75" hidden="false" customHeight="false" outlineLevel="0" collapsed="false">
      <c r="B303" s="1"/>
    </row>
    <row r="304" customFormat="false" ht="15.75" hidden="false" customHeight="false" outlineLevel="0" collapsed="false">
      <c r="B304" s="1"/>
    </row>
    <row r="305" customFormat="false" ht="15.75" hidden="false" customHeight="false" outlineLevel="0" collapsed="false">
      <c r="B305" s="1"/>
    </row>
    <row r="306" customFormat="false" ht="15.75" hidden="false" customHeight="false" outlineLevel="0" collapsed="false">
      <c r="B306" s="1"/>
    </row>
    <row r="307" customFormat="false" ht="15.75" hidden="false" customHeight="false" outlineLevel="0" collapsed="false">
      <c r="B307" s="1"/>
    </row>
    <row r="308" customFormat="false" ht="15.75" hidden="false" customHeight="false" outlineLevel="0" collapsed="false">
      <c r="B308" s="1"/>
    </row>
    <row r="309" customFormat="false" ht="15.75" hidden="false" customHeight="false" outlineLevel="0" collapsed="false">
      <c r="B309" s="1"/>
    </row>
    <row r="310" customFormat="false" ht="15.75" hidden="false" customHeight="false" outlineLevel="0" collapsed="false">
      <c r="B310" s="1"/>
    </row>
    <row r="311" customFormat="false" ht="15.75" hidden="false" customHeight="false" outlineLevel="0" collapsed="false">
      <c r="B311" s="1"/>
    </row>
    <row r="312" customFormat="false" ht="15.75" hidden="false" customHeight="false" outlineLevel="0" collapsed="false">
      <c r="B312" s="1"/>
    </row>
    <row r="313" customFormat="false" ht="15.75" hidden="false" customHeight="false" outlineLevel="0" collapsed="false">
      <c r="B313" s="1"/>
    </row>
    <row r="314" customFormat="false" ht="15.75" hidden="false" customHeight="false" outlineLevel="0" collapsed="false">
      <c r="B314" s="1"/>
    </row>
    <row r="315" customFormat="false" ht="15.75" hidden="false" customHeight="false" outlineLevel="0" collapsed="false">
      <c r="B315" s="1"/>
    </row>
    <row r="316" customFormat="false" ht="15.75" hidden="false" customHeight="false" outlineLevel="0" collapsed="false">
      <c r="B316" s="1"/>
    </row>
    <row r="317" customFormat="false" ht="15.75" hidden="false" customHeight="false" outlineLevel="0" collapsed="false">
      <c r="B317" s="1"/>
    </row>
    <row r="318" customFormat="false" ht="15.75" hidden="false" customHeight="false" outlineLevel="0" collapsed="false">
      <c r="B318" s="1"/>
    </row>
    <row r="319" customFormat="false" ht="15.75" hidden="false" customHeight="false" outlineLevel="0" collapsed="false">
      <c r="B319" s="1"/>
    </row>
    <row r="320" customFormat="false" ht="15.75" hidden="false" customHeight="false" outlineLevel="0" collapsed="false">
      <c r="B320" s="1"/>
    </row>
    <row r="321" customFormat="false" ht="15.75" hidden="false" customHeight="false" outlineLevel="0" collapsed="false">
      <c r="B321" s="1"/>
    </row>
    <row r="322" customFormat="false" ht="15.75" hidden="false" customHeight="false" outlineLevel="0" collapsed="false">
      <c r="B322" s="1"/>
    </row>
    <row r="323" customFormat="false" ht="15.75" hidden="false" customHeight="false" outlineLevel="0" collapsed="false">
      <c r="B323" s="1"/>
    </row>
    <row r="324" customFormat="false" ht="15.75" hidden="false" customHeight="false" outlineLevel="0" collapsed="false">
      <c r="B324" s="1"/>
    </row>
    <row r="325" customFormat="false" ht="15.75" hidden="false" customHeight="false" outlineLevel="0" collapsed="false">
      <c r="B325" s="1"/>
    </row>
    <row r="326" customFormat="false" ht="15.75" hidden="false" customHeight="false" outlineLevel="0" collapsed="false">
      <c r="B326" s="1"/>
    </row>
    <row r="327" customFormat="false" ht="15.75" hidden="false" customHeight="false" outlineLevel="0" collapsed="false">
      <c r="B327" s="1"/>
    </row>
    <row r="328" customFormat="false" ht="15.75" hidden="false" customHeight="false" outlineLevel="0" collapsed="false">
      <c r="B328" s="1"/>
    </row>
    <row r="329" customFormat="false" ht="15.75" hidden="false" customHeight="false" outlineLevel="0" collapsed="false">
      <c r="B329" s="1"/>
    </row>
    <row r="330" customFormat="false" ht="15.75" hidden="false" customHeight="false" outlineLevel="0" collapsed="false">
      <c r="B330" s="1"/>
    </row>
    <row r="331" customFormat="false" ht="15.75" hidden="false" customHeight="false" outlineLevel="0" collapsed="false">
      <c r="B331" s="1"/>
    </row>
    <row r="332" customFormat="false" ht="15.75" hidden="false" customHeight="false" outlineLevel="0" collapsed="false">
      <c r="B332" s="1"/>
    </row>
    <row r="333" customFormat="false" ht="15.75" hidden="false" customHeight="false" outlineLevel="0" collapsed="false">
      <c r="B333" s="1"/>
    </row>
    <row r="334" customFormat="false" ht="15.75" hidden="false" customHeight="false" outlineLevel="0" collapsed="false">
      <c r="B334" s="1"/>
    </row>
    <row r="335" customFormat="false" ht="15.75" hidden="false" customHeight="false" outlineLevel="0" collapsed="false">
      <c r="B335" s="1"/>
    </row>
    <row r="336" customFormat="false" ht="15.75" hidden="false" customHeight="false" outlineLevel="0" collapsed="false">
      <c r="B336" s="1"/>
    </row>
    <row r="337" customFormat="false" ht="15.75" hidden="false" customHeight="false" outlineLevel="0" collapsed="false">
      <c r="B337" s="1"/>
    </row>
    <row r="338" customFormat="false" ht="15.75" hidden="false" customHeight="false" outlineLevel="0" collapsed="false">
      <c r="B338" s="1"/>
    </row>
    <row r="339" customFormat="false" ht="15.75" hidden="false" customHeight="false" outlineLevel="0" collapsed="false">
      <c r="B339" s="1"/>
    </row>
    <row r="340" customFormat="false" ht="15.75" hidden="false" customHeight="false" outlineLevel="0" collapsed="false">
      <c r="B340" s="1"/>
    </row>
    <row r="341" customFormat="false" ht="15.75" hidden="false" customHeight="false" outlineLevel="0" collapsed="false">
      <c r="B341" s="1"/>
    </row>
    <row r="342" customFormat="false" ht="15.75" hidden="false" customHeight="false" outlineLevel="0" collapsed="false">
      <c r="B342" s="1"/>
    </row>
    <row r="343" customFormat="false" ht="15.75" hidden="false" customHeight="false" outlineLevel="0" collapsed="false">
      <c r="B343" s="1"/>
    </row>
    <row r="344" customFormat="false" ht="15.75" hidden="false" customHeight="false" outlineLevel="0" collapsed="false">
      <c r="B344" s="1"/>
    </row>
    <row r="345" customFormat="false" ht="15.75" hidden="false" customHeight="false" outlineLevel="0" collapsed="false">
      <c r="B345" s="1"/>
    </row>
    <row r="346" customFormat="false" ht="15.75" hidden="false" customHeight="false" outlineLevel="0" collapsed="false">
      <c r="B346" s="1"/>
    </row>
    <row r="347" customFormat="false" ht="15.75" hidden="false" customHeight="false" outlineLevel="0" collapsed="false">
      <c r="B347" s="1"/>
    </row>
    <row r="348" customFormat="false" ht="15.75" hidden="false" customHeight="false" outlineLevel="0" collapsed="false">
      <c r="B348" s="1"/>
    </row>
    <row r="349" customFormat="false" ht="15.75" hidden="false" customHeight="false" outlineLevel="0" collapsed="false">
      <c r="B349" s="1"/>
    </row>
    <row r="350" customFormat="false" ht="15.75" hidden="false" customHeight="false" outlineLevel="0" collapsed="false">
      <c r="B350" s="1"/>
    </row>
    <row r="351" customFormat="false" ht="15.75" hidden="false" customHeight="false" outlineLevel="0" collapsed="false">
      <c r="B351" s="1"/>
    </row>
    <row r="352" customFormat="false" ht="15.75" hidden="false" customHeight="false" outlineLevel="0" collapsed="false">
      <c r="B352" s="1"/>
    </row>
    <row r="353" customFormat="false" ht="15.75" hidden="false" customHeight="false" outlineLevel="0" collapsed="false">
      <c r="B353" s="1"/>
    </row>
    <row r="354" customFormat="false" ht="15.75" hidden="false" customHeight="false" outlineLevel="0" collapsed="false">
      <c r="B354" s="1"/>
    </row>
    <row r="355" customFormat="false" ht="15.75" hidden="false" customHeight="false" outlineLevel="0" collapsed="false">
      <c r="B355" s="1"/>
    </row>
    <row r="356" customFormat="false" ht="15.75" hidden="false" customHeight="false" outlineLevel="0" collapsed="false">
      <c r="B356" s="1"/>
    </row>
    <row r="357" customFormat="false" ht="15.75" hidden="false" customHeight="false" outlineLevel="0" collapsed="false">
      <c r="B357" s="1"/>
    </row>
    <row r="358" customFormat="false" ht="15.75" hidden="false" customHeight="false" outlineLevel="0" collapsed="false">
      <c r="B358" s="1"/>
    </row>
    <row r="359" customFormat="false" ht="15.75" hidden="false" customHeight="false" outlineLevel="0" collapsed="false">
      <c r="B359" s="1"/>
    </row>
    <row r="360" customFormat="false" ht="15.75" hidden="false" customHeight="false" outlineLevel="0" collapsed="false">
      <c r="B360" s="1"/>
    </row>
    <row r="361" customFormat="false" ht="15.75" hidden="false" customHeight="false" outlineLevel="0" collapsed="false">
      <c r="B361" s="1"/>
    </row>
    <row r="362" customFormat="false" ht="15.75" hidden="false" customHeight="false" outlineLevel="0" collapsed="false">
      <c r="B362" s="1"/>
    </row>
    <row r="363" customFormat="false" ht="15.75" hidden="false" customHeight="false" outlineLevel="0" collapsed="false">
      <c r="B363" s="1"/>
    </row>
    <row r="364" customFormat="false" ht="15.75" hidden="false" customHeight="false" outlineLevel="0" collapsed="false">
      <c r="B364" s="1"/>
    </row>
    <row r="365" customFormat="false" ht="15.75" hidden="false" customHeight="false" outlineLevel="0" collapsed="false">
      <c r="B365" s="1"/>
    </row>
    <row r="366" customFormat="false" ht="15.75" hidden="false" customHeight="false" outlineLevel="0" collapsed="false">
      <c r="B366" s="1"/>
    </row>
    <row r="367" customFormat="false" ht="15.75" hidden="false" customHeight="false" outlineLevel="0" collapsed="false">
      <c r="B367" s="1"/>
    </row>
    <row r="368" customFormat="false" ht="15.75" hidden="false" customHeight="false" outlineLevel="0" collapsed="false">
      <c r="B368" s="1"/>
    </row>
    <row r="369" customFormat="false" ht="15.75" hidden="false" customHeight="false" outlineLevel="0" collapsed="false">
      <c r="B369" s="1"/>
    </row>
    <row r="370" customFormat="false" ht="15.75" hidden="false" customHeight="false" outlineLevel="0" collapsed="false">
      <c r="B370" s="1"/>
    </row>
    <row r="371" customFormat="false" ht="15.75" hidden="false" customHeight="false" outlineLevel="0" collapsed="false">
      <c r="B371" s="1"/>
    </row>
    <row r="372" customFormat="false" ht="15.75" hidden="false" customHeight="false" outlineLevel="0" collapsed="false">
      <c r="B372" s="1"/>
    </row>
    <row r="373" customFormat="false" ht="15.75" hidden="false" customHeight="false" outlineLevel="0" collapsed="false">
      <c r="B373" s="1"/>
    </row>
    <row r="374" customFormat="false" ht="15.75" hidden="false" customHeight="false" outlineLevel="0" collapsed="false">
      <c r="B374" s="1"/>
    </row>
    <row r="375" customFormat="false" ht="15.75" hidden="false" customHeight="false" outlineLevel="0" collapsed="false">
      <c r="B375" s="1"/>
    </row>
    <row r="376" customFormat="false" ht="15.75" hidden="false" customHeight="false" outlineLevel="0" collapsed="false">
      <c r="B376" s="1"/>
    </row>
    <row r="377" customFormat="false" ht="15.75" hidden="false" customHeight="false" outlineLevel="0" collapsed="false">
      <c r="B377" s="1"/>
    </row>
    <row r="378" customFormat="false" ht="15.75" hidden="false" customHeight="false" outlineLevel="0" collapsed="false">
      <c r="B378" s="1"/>
    </row>
    <row r="379" customFormat="false" ht="15.75" hidden="false" customHeight="false" outlineLevel="0" collapsed="false">
      <c r="B379" s="1"/>
    </row>
    <row r="380" customFormat="false" ht="15.75" hidden="false" customHeight="false" outlineLevel="0" collapsed="false">
      <c r="B380" s="1"/>
    </row>
    <row r="381" customFormat="false" ht="15.75" hidden="false" customHeight="false" outlineLevel="0" collapsed="false">
      <c r="B381" s="1"/>
    </row>
    <row r="382" customFormat="false" ht="15.75" hidden="false" customHeight="false" outlineLevel="0" collapsed="false">
      <c r="B382" s="1"/>
    </row>
    <row r="383" customFormat="false" ht="15.75" hidden="false" customHeight="false" outlineLevel="0" collapsed="false">
      <c r="B383" s="1"/>
    </row>
    <row r="384" customFormat="false" ht="15.75" hidden="false" customHeight="false" outlineLevel="0" collapsed="false">
      <c r="B384" s="1"/>
    </row>
    <row r="385" customFormat="false" ht="15.75" hidden="false" customHeight="false" outlineLevel="0" collapsed="false">
      <c r="B385" s="1"/>
    </row>
    <row r="386" customFormat="false" ht="15.75" hidden="false" customHeight="false" outlineLevel="0" collapsed="false">
      <c r="B386" s="1"/>
    </row>
    <row r="387" customFormat="false" ht="15.75" hidden="false" customHeight="false" outlineLevel="0" collapsed="false">
      <c r="B387" s="1"/>
    </row>
    <row r="388" customFormat="false" ht="15.75" hidden="false" customHeight="false" outlineLevel="0" collapsed="false">
      <c r="B388" s="1"/>
    </row>
    <row r="389" customFormat="false" ht="15.75" hidden="false" customHeight="false" outlineLevel="0" collapsed="false">
      <c r="B389" s="1"/>
    </row>
    <row r="390" customFormat="false" ht="15.75" hidden="false" customHeight="false" outlineLevel="0" collapsed="false">
      <c r="B390" s="1"/>
    </row>
    <row r="391" customFormat="false" ht="15.75" hidden="false" customHeight="false" outlineLevel="0" collapsed="false">
      <c r="B391" s="1"/>
    </row>
    <row r="392" customFormat="false" ht="15.75" hidden="false" customHeight="false" outlineLevel="0" collapsed="false">
      <c r="B392" s="1"/>
    </row>
    <row r="393" customFormat="false" ht="15.75" hidden="false" customHeight="false" outlineLevel="0" collapsed="false">
      <c r="B393" s="1"/>
    </row>
    <row r="394" customFormat="false" ht="15.75" hidden="false" customHeight="false" outlineLevel="0" collapsed="false">
      <c r="B394" s="1"/>
    </row>
    <row r="395" customFormat="false" ht="15.75" hidden="false" customHeight="false" outlineLevel="0" collapsed="false">
      <c r="B395" s="1"/>
    </row>
    <row r="396" customFormat="false" ht="15.75" hidden="false" customHeight="false" outlineLevel="0" collapsed="false">
      <c r="B396" s="1"/>
    </row>
    <row r="397" customFormat="false" ht="15.75" hidden="false" customHeight="false" outlineLevel="0" collapsed="false">
      <c r="B397" s="1"/>
    </row>
    <row r="398" customFormat="false" ht="15.75" hidden="false" customHeight="false" outlineLevel="0" collapsed="false">
      <c r="B398" s="1"/>
    </row>
    <row r="399" customFormat="false" ht="15.75" hidden="false" customHeight="false" outlineLevel="0" collapsed="false">
      <c r="B399" s="1"/>
    </row>
    <row r="400" customFormat="false" ht="15.75" hidden="false" customHeight="false" outlineLevel="0" collapsed="false">
      <c r="B400" s="1"/>
    </row>
    <row r="401" customFormat="false" ht="15.75" hidden="false" customHeight="false" outlineLevel="0" collapsed="false">
      <c r="B401" s="1"/>
    </row>
    <row r="402" customFormat="false" ht="15.75" hidden="false" customHeight="false" outlineLevel="0" collapsed="false">
      <c r="B402" s="1"/>
    </row>
    <row r="403" customFormat="false" ht="15.75" hidden="false" customHeight="false" outlineLevel="0" collapsed="false">
      <c r="B403" s="1"/>
    </row>
    <row r="404" customFormat="false" ht="15.75" hidden="false" customHeight="false" outlineLevel="0" collapsed="false">
      <c r="B404" s="1"/>
    </row>
    <row r="405" customFormat="false" ht="15.75" hidden="false" customHeight="false" outlineLevel="0" collapsed="false">
      <c r="B405" s="1"/>
    </row>
    <row r="406" customFormat="false" ht="15.75" hidden="false" customHeight="false" outlineLevel="0" collapsed="false">
      <c r="B406" s="1"/>
    </row>
    <row r="407" customFormat="false" ht="15.75" hidden="false" customHeight="false" outlineLevel="0" collapsed="false">
      <c r="B407" s="1"/>
    </row>
    <row r="408" customFormat="false" ht="15.75" hidden="false" customHeight="false" outlineLevel="0" collapsed="false">
      <c r="B408" s="1"/>
    </row>
    <row r="409" customFormat="false" ht="15.75" hidden="false" customHeight="false" outlineLevel="0" collapsed="false">
      <c r="B409" s="1"/>
    </row>
    <row r="410" customFormat="false" ht="15.75" hidden="false" customHeight="false" outlineLevel="0" collapsed="false">
      <c r="B410" s="1"/>
    </row>
    <row r="411" customFormat="false" ht="15.75" hidden="false" customHeight="false" outlineLevel="0" collapsed="false">
      <c r="B411" s="1"/>
    </row>
    <row r="412" customFormat="false" ht="15.75" hidden="false" customHeight="false" outlineLevel="0" collapsed="false">
      <c r="B412" s="1"/>
    </row>
    <row r="413" customFormat="false" ht="15.75" hidden="false" customHeight="false" outlineLevel="0" collapsed="false">
      <c r="B413" s="1"/>
    </row>
    <row r="414" customFormat="false" ht="15.75" hidden="false" customHeight="false" outlineLevel="0" collapsed="false">
      <c r="B414" s="1"/>
    </row>
    <row r="415" customFormat="false" ht="15.75" hidden="false" customHeight="false" outlineLevel="0" collapsed="false">
      <c r="B415" s="1"/>
    </row>
    <row r="416" customFormat="false" ht="15.75" hidden="false" customHeight="false" outlineLevel="0" collapsed="false">
      <c r="B416" s="1"/>
    </row>
    <row r="417" customFormat="false" ht="15.75" hidden="false" customHeight="false" outlineLevel="0" collapsed="false">
      <c r="B417" s="1"/>
    </row>
    <row r="418" customFormat="false" ht="15.75" hidden="false" customHeight="false" outlineLevel="0" collapsed="false">
      <c r="B418" s="1"/>
    </row>
    <row r="419" customFormat="false" ht="15.75" hidden="false" customHeight="false" outlineLevel="0" collapsed="false">
      <c r="B419" s="1"/>
    </row>
    <row r="420" customFormat="false" ht="15.75" hidden="false" customHeight="false" outlineLevel="0" collapsed="false">
      <c r="B420" s="1"/>
    </row>
    <row r="421" customFormat="false" ht="15.75" hidden="false" customHeight="false" outlineLevel="0" collapsed="false">
      <c r="B421" s="1"/>
    </row>
    <row r="422" customFormat="false" ht="15.75" hidden="false" customHeight="false" outlineLevel="0" collapsed="false">
      <c r="B422" s="1"/>
    </row>
    <row r="423" customFormat="false" ht="15.75" hidden="false" customHeight="false" outlineLevel="0" collapsed="false">
      <c r="B423" s="1"/>
    </row>
    <row r="424" customFormat="false" ht="15.75" hidden="false" customHeight="false" outlineLevel="0" collapsed="false">
      <c r="B424" s="1"/>
    </row>
    <row r="425" customFormat="false" ht="15.75" hidden="false" customHeight="false" outlineLevel="0" collapsed="false">
      <c r="B425" s="1"/>
    </row>
    <row r="426" customFormat="false" ht="15.75" hidden="false" customHeight="false" outlineLevel="0" collapsed="false">
      <c r="B426" s="1"/>
    </row>
    <row r="427" customFormat="false" ht="15.75" hidden="false" customHeight="false" outlineLevel="0" collapsed="false">
      <c r="B427" s="1"/>
    </row>
    <row r="428" customFormat="false" ht="15.75" hidden="false" customHeight="false" outlineLevel="0" collapsed="false">
      <c r="B428" s="1"/>
    </row>
    <row r="429" customFormat="false" ht="15.75" hidden="false" customHeight="false" outlineLevel="0" collapsed="false">
      <c r="B429" s="1"/>
    </row>
    <row r="430" customFormat="false" ht="15.75" hidden="false" customHeight="false" outlineLevel="0" collapsed="false">
      <c r="B430" s="1"/>
    </row>
    <row r="431" customFormat="false" ht="15.75" hidden="false" customHeight="false" outlineLevel="0" collapsed="false">
      <c r="B431" s="1"/>
    </row>
    <row r="432" customFormat="false" ht="15.75" hidden="false" customHeight="false" outlineLevel="0" collapsed="false">
      <c r="B432" s="1"/>
    </row>
    <row r="433" customFormat="false" ht="15.75" hidden="false" customHeight="false" outlineLevel="0" collapsed="false">
      <c r="B433" s="1"/>
    </row>
    <row r="434" customFormat="false" ht="15.75" hidden="false" customHeight="false" outlineLevel="0" collapsed="false">
      <c r="B434" s="1"/>
    </row>
    <row r="435" customFormat="false" ht="15.75" hidden="false" customHeight="false" outlineLevel="0" collapsed="false">
      <c r="B435" s="1"/>
    </row>
    <row r="436" customFormat="false" ht="15.75" hidden="false" customHeight="false" outlineLevel="0" collapsed="false">
      <c r="B436" s="1"/>
    </row>
    <row r="437" customFormat="false" ht="15.75" hidden="false" customHeight="false" outlineLevel="0" collapsed="false">
      <c r="B437" s="1"/>
    </row>
    <row r="438" customFormat="false" ht="15.75" hidden="false" customHeight="false" outlineLevel="0" collapsed="false">
      <c r="B438" s="1"/>
    </row>
    <row r="439" customFormat="false" ht="15.75" hidden="false" customHeight="false" outlineLevel="0" collapsed="false">
      <c r="B439" s="1"/>
    </row>
    <row r="440" customFormat="false" ht="15.75" hidden="false" customHeight="false" outlineLevel="0" collapsed="false">
      <c r="B440" s="1"/>
    </row>
    <row r="441" customFormat="false" ht="15.75" hidden="false" customHeight="false" outlineLevel="0" collapsed="false">
      <c r="B441" s="1"/>
    </row>
    <row r="442" customFormat="false" ht="15.75" hidden="false" customHeight="false" outlineLevel="0" collapsed="false">
      <c r="B442" s="1"/>
    </row>
    <row r="443" customFormat="false" ht="15.75" hidden="false" customHeight="false" outlineLevel="0" collapsed="false">
      <c r="B443" s="1"/>
    </row>
    <row r="444" customFormat="false" ht="15.75" hidden="false" customHeight="false" outlineLevel="0" collapsed="false">
      <c r="B444" s="1"/>
    </row>
    <row r="445" customFormat="false" ht="15.75" hidden="false" customHeight="false" outlineLevel="0" collapsed="false">
      <c r="B445" s="1"/>
    </row>
    <row r="446" customFormat="false" ht="15.75" hidden="false" customHeight="false" outlineLevel="0" collapsed="false">
      <c r="B446" s="1"/>
    </row>
    <row r="447" customFormat="false" ht="15.75" hidden="false" customHeight="false" outlineLevel="0" collapsed="false">
      <c r="B447" s="1"/>
    </row>
    <row r="448" customFormat="false" ht="15.75" hidden="false" customHeight="false" outlineLevel="0" collapsed="false">
      <c r="B448" s="1"/>
    </row>
    <row r="449" customFormat="false" ht="15.75" hidden="false" customHeight="false" outlineLevel="0" collapsed="false">
      <c r="B449" s="1"/>
    </row>
    <row r="450" customFormat="false" ht="15.75" hidden="false" customHeight="false" outlineLevel="0" collapsed="false">
      <c r="B450" s="1"/>
    </row>
    <row r="451" customFormat="false" ht="15.75" hidden="false" customHeight="false" outlineLevel="0" collapsed="false">
      <c r="B451" s="1"/>
    </row>
    <row r="452" customFormat="false" ht="15.75" hidden="false" customHeight="false" outlineLevel="0" collapsed="false">
      <c r="B452" s="1"/>
    </row>
    <row r="453" customFormat="false" ht="15.75" hidden="false" customHeight="false" outlineLevel="0" collapsed="false">
      <c r="B453" s="1"/>
    </row>
    <row r="454" customFormat="false" ht="15.75" hidden="false" customHeight="false" outlineLevel="0" collapsed="false">
      <c r="B454" s="1"/>
    </row>
    <row r="455" customFormat="false" ht="15.75" hidden="false" customHeight="false" outlineLevel="0" collapsed="false">
      <c r="B455" s="1"/>
    </row>
    <row r="456" customFormat="false" ht="15.75" hidden="false" customHeight="false" outlineLevel="0" collapsed="false">
      <c r="B456" s="1"/>
    </row>
    <row r="457" customFormat="false" ht="15.75" hidden="false" customHeight="false" outlineLevel="0" collapsed="false">
      <c r="B457" s="1"/>
    </row>
    <row r="458" customFormat="false" ht="15.75" hidden="false" customHeight="false" outlineLevel="0" collapsed="false">
      <c r="B458" s="1"/>
    </row>
    <row r="459" customFormat="false" ht="15.75" hidden="false" customHeight="false" outlineLevel="0" collapsed="false">
      <c r="B459" s="1"/>
    </row>
    <row r="460" customFormat="false" ht="15.75" hidden="false" customHeight="false" outlineLevel="0" collapsed="false">
      <c r="B460" s="1"/>
    </row>
    <row r="461" customFormat="false" ht="15.75" hidden="false" customHeight="false" outlineLevel="0" collapsed="false">
      <c r="B461" s="1"/>
    </row>
    <row r="462" customFormat="false" ht="15.75" hidden="false" customHeight="false" outlineLevel="0" collapsed="false">
      <c r="B462" s="1"/>
    </row>
    <row r="463" customFormat="false" ht="15.75" hidden="false" customHeight="false" outlineLevel="0" collapsed="false">
      <c r="B463" s="1"/>
    </row>
    <row r="464" customFormat="false" ht="15.75" hidden="false" customHeight="false" outlineLevel="0" collapsed="false">
      <c r="B464" s="1"/>
    </row>
    <row r="465" customFormat="false" ht="15.75" hidden="false" customHeight="false" outlineLevel="0" collapsed="false">
      <c r="B465" s="1"/>
    </row>
    <row r="466" customFormat="false" ht="15.75" hidden="false" customHeight="false" outlineLevel="0" collapsed="false">
      <c r="B466" s="1"/>
    </row>
    <row r="467" customFormat="false" ht="15.75" hidden="false" customHeight="false" outlineLevel="0" collapsed="false">
      <c r="B467" s="1"/>
    </row>
    <row r="468" customFormat="false" ht="15.75" hidden="false" customHeight="false" outlineLevel="0" collapsed="false">
      <c r="B468" s="1"/>
    </row>
    <row r="469" customFormat="false" ht="15.75" hidden="false" customHeight="false" outlineLevel="0" collapsed="false">
      <c r="B469" s="1"/>
    </row>
    <row r="470" customFormat="false" ht="15.75" hidden="false" customHeight="false" outlineLevel="0" collapsed="false">
      <c r="B470" s="1"/>
    </row>
    <row r="471" customFormat="false" ht="15.75" hidden="false" customHeight="false" outlineLevel="0" collapsed="false">
      <c r="B471" s="1"/>
    </row>
    <row r="472" customFormat="false" ht="15.75" hidden="false" customHeight="false" outlineLevel="0" collapsed="false">
      <c r="B472" s="1"/>
    </row>
    <row r="473" customFormat="false" ht="15.75" hidden="false" customHeight="false" outlineLevel="0" collapsed="false">
      <c r="B473" s="1"/>
    </row>
    <row r="474" customFormat="false" ht="15.75" hidden="false" customHeight="false" outlineLevel="0" collapsed="false">
      <c r="B474" s="1"/>
    </row>
    <row r="475" customFormat="false" ht="15.75" hidden="false" customHeight="false" outlineLevel="0" collapsed="false">
      <c r="B475" s="1"/>
    </row>
    <row r="476" customFormat="false" ht="15.75" hidden="false" customHeight="false" outlineLevel="0" collapsed="false">
      <c r="B476" s="1"/>
    </row>
    <row r="477" customFormat="false" ht="15.75" hidden="false" customHeight="false" outlineLevel="0" collapsed="false">
      <c r="B477" s="1"/>
    </row>
    <row r="478" customFormat="false" ht="15.75" hidden="false" customHeight="false" outlineLevel="0" collapsed="false">
      <c r="B478" s="1"/>
    </row>
    <row r="479" customFormat="false" ht="15.75" hidden="false" customHeight="false" outlineLevel="0" collapsed="false">
      <c r="B479" s="1"/>
    </row>
    <row r="480" customFormat="false" ht="15.75" hidden="false" customHeight="false" outlineLevel="0" collapsed="false">
      <c r="B480" s="1"/>
    </row>
    <row r="481" customFormat="false" ht="15.75" hidden="false" customHeight="false" outlineLevel="0" collapsed="false">
      <c r="B481" s="1"/>
    </row>
    <row r="482" customFormat="false" ht="15.75" hidden="false" customHeight="false" outlineLevel="0" collapsed="false">
      <c r="B482" s="1"/>
    </row>
    <row r="483" customFormat="false" ht="15.75" hidden="false" customHeight="false" outlineLevel="0" collapsed="false">
      <c r="B483" s="1"/>
    </row>
    <row r="484" customFormat="false" ht="15.75" hidden="false" customHeight="false" outlineLevel="0" collapsed="false">
      <c r="B484" s="1"/>
    </row>
    <row r="485" customFormat="false" ht="15.75" hidden="false" customHeight="false" outlineLevel="0" collapsed="false">
      <c r="B485" s="1"/>
    </row>
    <row r="486" customFormat="false" ht="15.75" hidden="false" customHeight="false" outlineLevel="0" collapsed="false">
      <c r="B486" s="1"/>
    </row>
    <row r="487" customFormat="false" ht="15.75" hidden="false" customHeight="false" outlineLevel="0" collapsed="false">
      <c r="B487" s="1"/>
    </row>
    <row r="488" customFormat="false" ht="15.75" hidden="false" customHeight="false" outlineLevel="0" collapsed="false">
      <c r="B488" s="1"/>
    </row>
    <row r="489" customFormat="false" ht="15.75" hidden="false" customHeight="false" outlineLevel="0" collapsed="false">
      <c r="B489" s="1"/>
    </row>
    <row r="490" customFormat="false" ht="15.75" hidden="false" customHeight="false" outlineLevel="0" collapsed="false">
      <c r="B490" s="1"/>
    </row>
    <row r="491" customFormat="false" ht="15.75" hidden="false" customHeight="false" outlineLevel="0" collapsed="false">
      <c r="B491" s="1"/>
    </row>
    <row r="492" customFormat="false" ht="15.75" hidden="false" customHeight="false" outlineLevel="0" collapsed="false">
      <c r="B492" s="1"/>
    </row>
    <row r="493" customFormat="false" ht="15.75" hidden="false" customHeight="false" outlineLevel="0" collapsed="false">
      <c r="B493" s="1"/>
    </row>
    <row r="494" customFormat="false" ht="15.75" hidden="false" customHeight="false" outlineLevel="0" collapsed="false">
      <c r="B494" s="1"/>
    </row>
    <row r="495" customFormat="false" ht="15.75" hidden="false" customHeight="false" outlineLevel="0" collapsed="false">
      <c r="B495" s="1"/>
    </row>
    <row r="496" customFormat="false" ht="15.75" hidden="false" customHeight="false" outlineLevel="0" collapsed="false">
      <c r="B496" s="1"/>
    </row>
    <row r="497" customFormat="false" ht="15.75" hidden="false" customHeight="false" outlineLevel="0" collapsed="false">
      <c r="B497" s="1"/>
    </row>
    <row r="498" customFormat="false" ht="15.75" hidden="false" customHeight="false" outlineLevel="0" collapsed="false">
      <c r="B498" s="1"/>
    </row>
    <row r="499" customFormat="false" ht="15.75" hidden="false" customHeight="false" outlineLevel="0" collapsed="false">
      <c r="B499" s="1"/>
    </row>
    <row r="500" customFormat="false" ht="15.75" hidden="false" customHeight="false" outlineLevel="0" collapsed="false">
      <c r="B500" s="1"/>
    </row>
    <row r="501" customFormat="false" ht="15.75" hidden="false" customHeight="false" outlineLevel="0" collapsed="false">
      <c r="B501" s="1"/>
    </row>
    <row r="502" customFormat="false" ht="15.75" hidden="false" customHeight="false" outlineLevel="0" collapsed="false">
      <c r="B502" s="1"/>
    </row>
    <row r="503" customFormat="false" ht="15.75" hidden="false" customHeight="false" outlineLevel="0" collapsed="false">
      <c r="B503" s="1"/>
    </row>
    <row r="504" customFormat="false" ht="15.75" hidden="false" customHeight="false" outlineLevel="0" collapsed="false">
      <c r="B504" s="1"/>
    </row>
    <row r="505" customFormat="false" ht="15.75" hidden="false" customHeight="false" outlineLevel="0" collapsed="false">
      <c r="B505" s="1"/>
    </row>
    <row r="506" customFormat="false" ht="15.75" hidden="false" customHeight="false" outlineLevel="0" collapsed="false">
      <c r="B506" s="1"/>
    </row>
    <row r="507" customFormat="false" ht="15.75" hidden="false" customHeight="false" outlineLevel="0" collapsed="false">
      <c r="B507" s="1"/>
    </row>
    <row r="508" customFormat="false" ht="15.75" hidden="false" customHeight="false" outlineLevel="0" collapsed="false">
      <c r="B508" s="1"/>
    </row>
    <row r="509" customFormat="false" ht="15.75" hidden="false" customHeight="false" outlineLevel="0" collapsed="false">
      <c r="B509" s="1"/>
    </row>
    <row r="510" customFormat="false" ht="15.75" hidden="false" customHeight="false" outlineLevel="0" collapsed="false">
      <c r="B510" s="1"/>
    </row>
    <row r="511" customFormat="false" ht="15.75" hidden="false" customHeight="false" outlineLevel="0" collapsed="false">
      <c r="B511" s="1"/>
    </row>
    <row r="512" customFormat="false" ht="15.75" hidden="false" customHeight="false" outlineLevel="0" collapsed="false">
      <c r="B512" s="1"/>
    </row>
    <row r="513" customFormat="false" ht="15.75" hidden="false" customHeight="false" outlineLevel="0" collapsed="false">
      <c r="B513" s="1"/>
    </row>
    <row r="514" customFormat="false" ht="15.75" hidden="false" customHeight="false" outlineLevel="0" collapsed="false">
      <c r="B514" s="1"/>
    </row>
    <row r="515" customFormat="false" ht="15.75" hidden="false" customHeight="false" outlineLevel="0" collapsed="false">
      <c r="B515" s="1"/>
    </row>
    <row r="516" customFormat="false" ht="15.75" hidden="false" customHeight="false" outlineLevel="0" collapsed="false">
      <c r="B516" s="1"/>
    </row>
    <row r="517" customFormat="false" ht="15.75" hidden="false" customHeight="false" outlineLevel="0" collapsed="false">
      <c r="B517" s="1"/>
    </row>
    <row r="518" customFormat="false" ht="15.75" hidden="false" customHeight="false" outlineLevel="0" collapsed="false">
      <c r="B518" s="1"/>
    </row>
    <row r="519" customFormat="false" ht="15.75" hidden="false" customHeight="false" outlineLevel="0" collapsed="false">
      <c r="B519" s="1"/>
    </row>
    <row r="520" customFormat="false" ht="15.75" hidden="false" customHeight="false" outlineLevel="0" collapsed="false">
      <c r="B520" s="1"/>
    </row>
    <row r="521" customFormat="false" ht="15.75" hidden="false" customHeight="false" outlineLevel="0" collapsed="false">
      <c r="B521" s="1"/>
    </row>
    <row r="522" customFormat="false" ht="15.75" hidden="false" customHeight="false" outlineLevel="0" collapsed="false">
      <c r="B522" s="1"/>
    </row>
    <row r="523" customFormat="false" ht="15.75" hidden="false" customHeight="false" outlineLevel="0" collapsed="false">
      <c r="B523" s="1"/>
    </row>
    <row r="524" customFormat="false" ht="15.75" hidden="false" customHeight="false" outlineLevel="0" collapsed="false">
      <c r="B524" s="1"/>
    </row>
    <row r="525" customFormat="false" ht="15.75" hidden="false" customHeight="false" outlineLevel="0" collapsed="false">
      <c r="B525" s="1"/>
    </row>
    <row r="526" customFormat="false" ht="15.75" hidden="false" customHeight="false" outlineLevel="0" collapsed="false">
      <c r="B526" s="1"/>
    </row>
    <row r="527" customFormat="false" ht="15.75" hidden="false" customHeight="false" outlineLevel="0" collapsed="false">
      <c r="B527" s="1"/>
    </row>
    <row r="528" customFormat="false" ht="15.75" hidden="false" customHeight="false" outlineLevel="0" collapsed="false">
      <c r="B528" s="1"/>
    </row>
    <row r="529" customFormat="false" ht="15.75" hidden="false" customHeight="false" outlineLevel="0" collapsed="false">
      <c r="B529" s="1"/>
    </row>
    <row r="530" customFormat="false" ht="15.75" hidden="false" customHeight="false" outlineLevel="0" collapsed="false">
      <c r="B530" s="1"/>
    </row>
    <row r="531" customFormat="false" ht="15.75" hidden="false" customHeight="false" outlineLevel="0" collapsed="false">
      <c r="B531" s="1"/>
    </row>
    <row r="532" customFormat="false" ht="15.75" hidden="false" customHeight="false" outlineLevel="0" collapsed="false">
      <c r="B532" s="1"/>
    </row>
    <row r="533" customFormat="false" ht="15.75" hidden="false" customHeight="false" outlineLevel="0" collapsed="false">
      <c r="B533" s="1"/>
    </row>
    <row r="534" customFormat="false" ht="15.75" hidden="false" customHeight="false" outlineLevel="0" collapsed="false">
      <c r="B534" s="1"/>
    </row>
    <row r="535" customFormat="false" ht="15.75" hidden="false" customHeight="false" outlineLevel="0" collapsed="false">
      <c r="B535" s="1"/>
    </row>
    <row r="536" customFormat="false" ht="15.75" hidden="false" customHeight="false" outlineLevel="0" collapsed="false">
      <c r="B536" s="1"/>
    </row>
    <row r="537" customFormat="false" ht="15.75" hidden="false" customHeight="false" outlineLevel="0" collapsed="false">
      <c r="B537" s="1"/>
    </row>
    <row r="538" customFormat="false" ht="15.75" hidden="false" customHeight="false" outlineLevel="0" collapsed="false">
      <c r="B538" s="1"/>
    </row>
    <row r="539" customFormat="false" ht="15.75" hidden="false" customHeight="false" outlineLevel="0" collapsed="false">
      <c r="B539" s="1"/>
    </row>
    <row r="540" customFormat="false" ht="15.75" hidden="false" customHeight="false" outlineLevel="0" collapsed="false">
      <c r="B540" s="1"/>
    </row>
    <row r="541" customFormat="false" ht="15.75" hidden="false" customHeight="false" outlineLevel="0" collapsed="false">
      <c r="B541" s="1"/>
    </row>
    <row r="542" customFormat="false" ht="15.75" hidden="false" customHeight="false" outlineLevel="0" collapsed="false">
      <c r="B542" s="1"/>
    </row>
    <row r="543" customFormat="false" ht="15.75" hidden="false" customHeight="false" outlineLevel="0" collapsed="false">
      <c r="B543" s="1"/>
    </row>
    <row r="544" customFormat="false" ht="15.75" hidden="false" customHeight="false" outlineLevel="0" collapsed="false">
      <c r="B544" s="1"/>
    </row>
    <row r="545" customFormat="false" ht="15.75" hidden="false" customHeight="false" outlineLevel="0" collapsed="false">
      <c r="B545" s="1"/>
    </row>
    <row r="546" customFormat="false" ht="15.75" hidden="false" customHeight="false" outlineLevel="0" collapsed="false">
      <c r="B546" s="1"/>
    </row>
    <row r="547" customFormat="false" ht="15.75" hidden="false" customHeight="false" outlineLevel="0" collapsed="false">
      <c r="B547" s="1"/>
    </row>
    <row r="548" customFormat="false" ht="15.75" hidden="false" customHeight="false" outlineLevel="0" collapsed="false">
      <c r="B548" s="1"/>
    </row>
    <row r="549" customFormat="false" ht="15.75" hidden="false" customHeight="false" outlineLevel="0" collapsed="false">
      <c r="B549" s="1"/>
    </row>
    <row r="550" customFormat="false" ht="15.75" hidden="false" customHeight="false" outlineLevel="0" collapsed="false">
      <c r="B550" s="1"/>
    </row>
    <row r="551" customFormat="false" ht="15.75" hidden="false" customHeight="false" outlineLevel="0" collapsed="false">
      <c r="B551" s="1"/>
    </row>
    <row r="552" customFormat="false" ht="15.75" hidden="false" customHeight="false" outlineLevel="0" collapsed="false">
      <c r="B552" s="1"/>
    </row>
    <row r="553" customFormat="false" ht="15.75" hidden="false" customHeight="false" outlineLevel="0" collapsed="false">
      <c r="B553" s="1"/>
    </row>
    <row r="554" customFormat="false" ht="15.75" hidden="false" customHeight="false" outlineLevel="0" collapsed="false">
      <c r="B554" s="1"/>
    </row>
    <row r="555" customFormat="false" ht="15.75" hidden="false" customHeight="false" outlineLevel="0" collapsed="false">
      <c r="B555" s="1"/>
    </row>
    <row r="556" customFormat="false" ht="15.75" hidden="false" customHeight="false" outlineLevel="0" collapsed="false">
      <c r="B556" s="1"/>
    </row>
    <row r="557" customFormat="false" ht="15.75" hidden="false" customHeight="false" outlineLevel="0" collapsed="false">
      <c r="B557" s="1"/>
    </row>
    <row r="558" customFormat="false" ht="15.75" hidden="false" customHeight="false" outlineLevel="0" collapsed="false">
      <c r="B558" s="1"/>
    </row>
    <row r="559" customFormat="false" ht="15.75" hidden="false" customHeight="false" outlineLevel="0" collapsed="false">
      <c r="B559" s="1"/>
    </row>
    <row r="560" customFormat="false" ht="15.75" hidden="false" customHeight="false" outlineLevel="0" collapsed="false">
      <c r="B560" s="1"/>
    </row>
    <row r="561" customFormat="false" ht="15.75" hidden="false" customHeight="false" outlineLevel="0" collapsed="false">
      <c r="B561" s="1"/>
    </row>
    <row r="562" customFormat="false" ht="15.75" hidden="false" customHeight="false" outlineLevel="0" collapsed="false">
      <c r="B562" s="1"/>
    </row>
    <row r="563" customFormat="false" ht="15.75" hidden="false" customHeight="false" outlineLevel="0" collapsed="false">
      <c r="B563" s="1"/>
    </row>
    <row r="564" customFormat="false" ht="15.75" hidden="false" customHeight="false" outlineLevel="0" collapsed="false">
      <c r="B564" s="1"/>
    </row>
    <row r="565" customFormat="false" ht="15.75" hidden="false" customHeight="false" outlineLevel="0" collapsed="false">
      <c r="B565" s="1"/>
    </row>
    <row r="566" customFormat="false" ht="15.75" hidden="false" customHeight="false" outlineLevel="0" collapsed="false">
      <c r="B566" s="1"/>
    </row>
    <row r="567" customFormat="false" ht="15.75" hidden="false" customHeight="false" outlineLevel="0" collapsed="false">
      <c r="B567" s="1"/>
    </row>
    <row r="568" customFormat="false" ht="15.75" hidden="false" customHeight="false" outlineLevel="0" collapsed="false">
      <c r="B568" s="1"/>
    </row>
    <row r="569" customFormat="false" ht="15.75" hidden="false" customHeight="false" outlineLevel="0" collapsed="false">
      <c r="B569" s="1"/>
    </row>
    <row r="570" customFormat="false" ht="15.75" hidden="false" customHeight="false" outlineLevel="0" collapsed="false">
      <c r="B570" s="1"/>
    </row>
    <row r="571" customFormat="false" ht="15.75" hidden="false" customHeight="false" outlineLevel="0" collapsed="false">
      <c r="B571" s="1"/>
    </row>
    <row r="572" customFormat="false" ht="15.75" hidden="false" customHeight="false" outlineLevel="0" collapsed="false">
      <c r="B572" s="1"/>
    </row>
    <row r="573" customFormat="false" ht="15.75" hidden="false" customHeight="false" outlineLevel="0" collapsed="false">
      <c r="B573" s="1"/>
    </row>
    <row r="574" customFormat="false" ht="15.75" hidden="false" customHeight="false" outlineLevel="0" collapsed="false">
      <c r="B574" s="1"/>
    </row>
    <row r="575" customFormat="false" ht="15.75" hidden="false" customHeight="false" outlineLevel="0" collapsed="false">
      <c r="B575" s="1"/>
    </row>
    <row r="576" customFormat="false" ht="15.75" hidden="false" customHeight="false" outlineLevel="0" collapsed="false">
      <c r="B576" s="1"/>
    </row>
    <row r="577" customFormat="false" ht="15.75" hidden="false" customHeight="false" outlineLevel="0" collapsed="false">
      <c r="B577" s="1"/>
    </row>
    <row r="578" customFormat="false" ht="15.75" hidden="false" customHeight="false" outlineLevel="0" collapsed="false">
      <c r="B578" s="1"/>
    </row>
    <row r="579" customFormat="false" ht="15.75" hidden="false" customHeight="false" outlineLevel="0" collapsed="false">
      <c r="B579" s="1"/>
    </row>
    <row r="580" customFormat="false" ht="15.75" hidden="false" customHeight="false" outlineLevel="0" collapsed="false">
      <c r="B580" s="1"/>
    </row>
    <row r="581" customFormat="false" ht="15.75" hidden="false" customHeight="false" outlineLevel="0" collapsed="false">
      <c r="B581" s="1"/>
    </row>
    <row r="582" customFormat="false" ht="15.75" hidden="false" customHeight="false" outlineLevel="0" collapsed="false">
      <c r="B582" s="1"/>
    </row>
    <row r="583" customFormat="false" ht="15.75" hidden="false" customHeight="false" outlineLevel="0" collapsed="false">
      <c r="B583" s="1"/>
    </row>
    <row r="584" customFormat="false" ht="15.75" hidden="false" customHeight="false" outlineLevel="0" collapsed="false">
      <c r="B584" s="1"/>
    </row>
    <row r="585" customFormat="false" ht="15.75" hidden="false" customHeight="false" outlineLevel="0" collapsed="false">
      <c r="B585" s="1"/>
    </row>
    <row r="586" customFormat="false" ht="15.75" hidden="false" customHeight="false" outlineLevel="0" collapsed="false">
      <c r="B586" s="1"/>
    </row>
    <row r="587" customFormat="false" ht="15.75" hidden="false" customHeight="false" outlineLevel="0" collapsed="false">
      <c r="B587" s="1"/>
    </row>
    <row r="588" customFormat="false" ht="15.75" hidden="false" customHeight="false" outlineLevel="0" collapsed="false">
      <c r="B588" s="1"/>
    </row>
    <row r="589" customFormat="false" ht="15.75" hidden="false" customHeight="false" outlineLevel="0" collapsed="false">
      <c r="B589" s="1"/>
    </row>
    <row r="590" customFormat="false" ht="15.75" hidden="false" customHeight="false" outlineLevel="0" collapsed="false">
      <c r="B590" s="1"/>
    </row>
    <row r="591" customFormat="false" ht="15.75" hidden="false" customHeight="false" outlineLevel="0" collapsed="false">
      <c r="B591" s="1"/>
    </row>
    <row r="592" customFormat="false" ht="15.75" hidden="false" customHeight="false" outlineLevel="0" collapsed="false">
      <c r="B592" s="1"/>
    </row>
    <row r="593" customFormat="false" ht="15.75" hidden="false" customHeight="false" outlineLevel="0" collapsed="false">
      <c r="B593" s="1"/>
    </row>
    <row r="594" customFormat="false" ht="15.75" hidden="false" customHeight="false" outlineLevel="0" collapsed="false">
      <c r="B594" s="1"/>
    </row>
    <row r="595" customFormat="false" ht="15.75" hidden="false" customHeight="false" outlineLevel="0" collapsed="false">
      <c r="B595" s="1"/>
    </row>
    <row r="596" customFormat="false" ht="15.75" hidden="false" customHeight="false" outlineLevel="0" collapsed="false">
      <c r="B596" s="1"/>
    </row>
    <row r="597" customFormat="false" ht="15.75" hidden="false" customHeight="false" outlineLevel="0" collapsed="false">
      <c r="B597" s="1"/>
    </row>
    <row r="598" customFormat="false" ht="15.75" hidden="false" customHeight="false" outlineLevel="0" collapsed="false">
      <c r="B598" s="1"/>
    </row>
    <row r="599" customFormat="false" ht="15.75" hidden="false" customHeight="false" outlineLevel="0" collapsed="false">
      <c r="B599" s="1"/>
    </row>
    <row r="600" customFormat="false" ht="15.75" hidden="false" customHeight="false" outlineLevel="0" collapsed="false">
      <c r="B600" s="1"/>
    </row>
    <row r="601" customFormat="false" ht="15.75" hidden="false" customHeight="false" outlineLevel="0" collapsed="false">
      <c r="B601" s="1"/>
    </row>
    <row r="602" customFormat="false" ht="15.75" hidden="false" customHeight="false" outlineLevel="0" collapsed="false">
      <c r="B602" s="1"/>
    </row>
    <row r="603" customFormat="false" ht="15.75" hidden="false" customHeight="false" outlineLevel="0" collapsed="false">
      <c r="B603" s="1"/>
    </row>
    <row r="604" customFormat="false" ht="15.75" hidden="false" customHeight="false" outlineLevel="0" collapsed="false">
      <c r="B604" s="1"/>
    </row>
    <row r="605" customFormat="false" ht="15.75" hidden="false" customHeight="false" outlineLevel="0" collapsed="false">
      <c r="B605" s="1"/>
    </row>
    <row r="606" customFormat="false" ht="15.75" hidden="false" customHeight="false" outlineLevel="0" collapsed="false">
      <c r="B606" s="1"/>
    </row>
    <row r="607" customFormat="false" ht="15.75" hidden="false" customHeight="false" outlineLevel="0" collapsed="false">
      <c r="B607" s="1"/>
    </row>
    <row r="608" customFormat="false" ht="15.75" hidden="false" customHeight="false" outlineLevel="0" collapsed="false">
      <c r="B608" s="1"/>
    </row>
    <row r="609" customFormat="false" ht="15.75" hidden="false" customHeight="false" outlineLevel="0" collapsed="false">
      <c r="B609" s="1"/>
    </row>
    <row r="610" customFormat="false" ht="15.75" hidden="false" customHeight="false" outlineLevel="0" collapsed="false">
      <c r="B610" s="1"/>
    </row>
    <row r="611" customFormat="false" ht="15.75" hidden="false" customHeight="false" outlineLevel="0" collapsed="false">
      <c r="B611" s="1"/>
    </row>
    <row r="612" customFormat="false" ht="15.75" hidden="false" customHeight="false" outlineLevel="0" collapsed="false">
      <c r="B612" s="1"/>
    </row>
    <row r="613" customFormat="false" ht="15.75" hidden="false" customHeight="false" outlineLevel="0" collapsed="false">
      <c r="B613" s="1"/>
    </row>
    <row r="614" customFormat="false" ht="15.75" hidden="false" customHeight="false" outlineLevel="0" collapsed="false">
      <c r="B614" s="1"/>
    </row>
    <row r="615" customFormat="false" ht="15.75" hidden="false" customHeight="false" outlineLevel="0" collapsed="false">
      <c r="B615" s="1"/>
    </row>
    <row r="616" customFormat="false" ht="15.75" hidden="false" customHeight="false" outlineLevel="0" collapsed="false">
      <c r="B616" s="1"/>
    </row>
    <row r="617" customFormat="false" ht="15.75" hidden="false" customHeight="false" outlineLevel="0" collapsed="false">
      <c r="B617" s="1"/>
    </row>
    <row r="618" customFormat="false" ht="15.75" hidden="false" customHeight="false" outlineLevel="0" collapsed="false">
      <c r="B618" s="1"/>
    </row>
    <row r="619" customFormat="false" ht="15.75" hidden="false" customHeight="false" outlineLevel="0" collapsed="false">
      <c r="B619" s="1"/>
    </row>
    <row r="620" customFormat="false" ht="15.75" hidden="false" customHeight="false" outlineLevel="0" collapsed="false">
      <c r="B620" s="1"/>
    </row>
    <row r="621" customFormat="false" ht="15.75" hidden="false" customHeight="false" outlineLevel="0" collapsed="false">
      <c r="B621" s="1"/>
    </row>
    <row r="622" customFormat="false" ht="15.75" hidden="false" customHeight="false" outlineLevel="0" collapsed="false">
      <c r="B622" s="1"/>
    </row>
    <row r="623" customFormat="false" ht="15.75" hidden="false" customHeight="false" outlineLevel="0" collapsed="false">
      <c r="B623" s="1"/>
    </row>
    <row r="624" customFormat="false" ht="15.75" hidden="false" customHeight="false" outlineLevel="0" collapsed="false">
      <c r="B624" s="1"/>
    </row>
    <row r="625" customFormat="false" ht="15.75" hidden="false" customHeight="false" outlineLevel="0" collapsed="false">
      <c r="B625" s="1"/>
    </row>
    <row r="626" customFormat="false" ht="15.75" hidden="false" customHeight="false" outlineLevel="0" collapsed="false">
      <c r="B626" s="1"/>
    </row>
    <row r="627" customFormat="false" ht="15.75" hidden="false" customHeight="false" outlineLevel="0" collapsed="false">
      <c r="B627" s="1"/>
    </row>
    <row r="628" customFormat="false" ht="15.75" hidden="false" customHeight="false" outlineLevel="0" collapsed="false">
      <c r="B628" s="1"/>
    </row>
    <row r="629" customFormat="false" ht="15.75" hidden="false" customHeight="false" outlineLevel="0" collapsed="false">
      <c r="B629" s="1"/>
    </row>
    <row r="630" customFormat="false" ht="15.75" hidden="false" customHeight="false" outlineLevel="0" collapsed="false">
      <c r="B630" s="1"/>
    </row>
    <row r="631" customFormat="false" ht="15.75" hidden="false" customHeight="false" outlineLevel="0" collapsed="false">
      <c r="B631" s="1"/>
    </row>
    <row r="632" customFormat="false" ht="15.75" hidden="false" customHeight="false" outlineLevel="0" collapsed="false">
      <c r="B632" s="1"/>
    </row>
    <row r="633" customFormat="false" ht="15.75" hidden="false" customHeight="false" outlineLevel="0" collapsed="false">
      <c r="B633" s="1"/>
    </row>
    <row r="634" customFormat="false" ht="15.75" hidden="false" customHeight="false" outlineLevel="0" collapsed="false">
      <c r="B634" s="1"/>
    </row>
    <row r="635" customFormat="false" ht="15.75" hidden="false" customHeight="false" outlineLevel="0" collapsed="false">
      <c r="B635" s="1"/>
    </row>
    <row r="636" customFormat="false" ht="15.75" hidden="false" customHeight="false" outlineLevel="0" collapsed="false">
      <c r="B636" s="1"/>
    </row>
    <row r="637" customFormat="false" ht="15.75" hidden="false" customHeight="false" outlineLevel="0" collapsed="false">
      <c r="B637" s="1"/>
    </row>
    <row r="638" customFormat="false" ht="15.75" hidden="false" customHeight="false" outlineLevel="0" collapsed="false">
      <c r="B638" s="1"/>
    </row>
    <row r="639" customFormat="false" ht="15.75" hidden="false" customHeight="false" outlineLevel="0" collapsed="false">
      <c r="B639" s="1"/>
    </row>
    <row r="640" customFormat="false" ht="15.75" hidden="false" customHeight="false" outlineLevel="0" collapsed="false">
      <c r="B640" s="1"/>
    </row>
    <row r="641" customFormat="false" ht="15.75" hidden="false" customHeight="false" outlineLevel="0" collapsed="false">
      <c r="B641" s="1"/>
    </row>
    <row r="642" customFormat="false" ht="15.75" hidden="false" customHeight="false" outlineLevel="0" collapsed="false">
      <c r="B642" s="1"/>
    </row>
    <row r="643" customFormat="false" ht="15.75" hidden="false" customHeight="false" outlineLevel="0" collapsed="false">
      <c r="B643" s="1"/>
    </row>
    <row r="644" customFormat="false" ht="15.75" hidden="false" customHeight="false" outlineLevel="0" collapsed="false">
      <c r="B644" s="1"/>
    </row>
    <row r="645" customFormat="false" ht="15.75" hidden="false" customHeight="false" outlineLevel="0" collapsed="false">
      <c r="B645" s="1"/>
    </row>
    <row r="646" customFormat="false" ht="15.75" hidden="false" customHeight="false" outlineLevel="0" collapsed="false">
      <c r="B646" s="1"/>
    </row>
    <row r="647" customFormat="false" ht="15.75" hidden="false" customHeight="false" outlineLevel="0" collapsed="false">
      <c r="B647" s="1"/>
    </row>
    <row r="648" customFormat="false" ht="15.75" hidden="false" customHeight="false" outlineLevel="0" collapsed="false">
      <c r="B648" s="1"/>
    </row>
    <row r="649" customFormat="false" ht="15.75" hidden="false" customHeight="false" outlineLevel="0" collapsed="false">
      <c r="B649" s="1"/>
    </row>
    <row r="650" customFormat="false" ht="15.75" hidden="false" customHeight="false" outlineLevel="0" collapsed="false">
      <c r="B650" s="1"/>
    </row>
    <row r="651" customFormat="false" ht="15.75" hidden="false" customHeight="false" outlineLevel="0" collapsed="false">
      <c r="B651" s="1"/>
    </row>
    <row r="652" customFormat="false" ht="15.75" hidden="false" customHeight="false" outlineLevel="0" collapsed="false">
      <c r="B652" s="1"/>
    </row>
    <row r="653" customFormat="false" ht="15.75" hidden="false" customHeight="false" outlineLevel="0" collapsed="false">
      <c r="B653" s="1"/>
    </row>
    <row r="654" customFormat="false" ht="15.75" hidden="false" customHeight="false" outlineLevel="0" collapsed="false">
      <c r="B654" s="1"/>
    </row>
    <row r="655" customFormat="false" ht="15.75" hidden="false" customHeight="false" outlineLevel="0" collapsed="false">
      <c r="B655" s="1"/>
    </row>
    <row r="656" customFormat="false" ht="15.75" hidden="false" customHeight="false" outlineLevel="0" collapsed="false">
      <c r="B656" s="1"/>
    </row>
    <row r="657" customFormat="false" ht="15.75" hidden="false" customHeight="false" outlineLevel="0" collapsed="false">
      <c r="B657" s="1"/>
    </row>
    <row r="658" customFormat="false" ht="15.75" hidden="false" customHeight="false" outlineLevel="0" collapsed="false">
      <c r="B658" s="1"/>
    </row>
    <row r="659" customFormat="false" ht="15.75" hidden="false" customHeight="false" outlineLevel="0" collapsed="false">
      <c r="B659" s="1"/>
    </row>
    <row r="660" customFormat="false" ht="15.75" hidden="false" customHeight="false" outlineLevel="0" collapsed="false">
      <c r="B660" s="1"/>
    </row>
    <row r="661" customFormat="false" ht="15.75" hidden="false" customHeight="false" outlineLevel="0" collapsed="false">
      <c r="B661" s="1"/>
    </row>
    <row r="662" customFormat="false" ht="15.75" hidden="false" customHeight="false" outlineLevel="0" collapsed="false">
      <c r="B662" s="1"/>
    </row>
    <row r="663" customFormat="false" ht="15.75" hidden="false" customHeight="false" outlineLevel="0" collapsed="false">
      <c r="B663" s="1"/>
    </row>
    <row r="664" customFormat="false" ht="15.75" hidden="false" customHeight="false" outlineLevel="0" collapsed="false">
      <c r="B664" s="1"/>
    </row>
    <row r="665" customFormat="false" ht="15.75" hidden="false" customHeight="false" outlineLevel="0" collapsed="false">
      <c r="B665" s="1"/>
    </row>
    <row r="666" customFormat="false" ht="15.75" hidden="false" customHeight="false" outlineLevel="0" collapsed="false">
      <c r="B666" s="1"/>
    </row>
    <row r="667" customFormat="false" ht="15.75" hidden="false" customHeight="false" outlineLevel="0" collapsed="false">
      <c r="B667" s="1"/>
    </row>
    <row r="668" customFormat="false" ht="15.75" hidden="false" customHeight="false" outlineLevel="0" collapsed="false">
      <c r="B668" s="1"/>
    </row>
    <row r="669" customFormat="false" ht="15.75" hidden="false" customHeight="false" outlineLevel="0" collapsed="false">
      <c r="B669" s="1"/>
    </row>
    <row r="670" customFormat="false" ht="15.75" hidden="false" customHeight="false" outlineLevel="0" collapsed="false">
      <c r="B670" s="1"/>
    </row>
    <row r="671" customFormat="false" ht="15.75" hidden="false" customHeight="false" outlineLevel="0" collapsed="false">
      <c r="B671" s="1"/>
    </row>
    <row r="672" customFormat="false" ht="15.75" hidden="false" customHeight="false" outlineLevel="0" collapsed="false">
      <c r="B672" s="1"/>
    </row>
    <row r="673" customFormat="false" ht="15.75" hidden="false" customHeight="false" outlineLevel="0" collapsed="false">
      <c r="B673" s="1"/>
    </row>
    <row r="674" customFormat="false" ht="15.75" hidden="false" customHeight="false" outlineLevel="0" collapsed="false">
      <c r="B674" s="1"/>
    </row>
    <row r="675" customFormat="false" ht="15.75" hidden="false" customHeight="false" outlineLevel="0" collapsed="false">
      <c r="B675" s="1"/>
    </row>
    <row r="676" customFormat="false" ht="15.75" hidden="false" customHeight="false" outlineLevel="0" collapsed="false">
      <c r="B676" s="1"/>
    </row>
    <row r="677" customFormat="false" ht="15.75" hidden="false" customHeight="false" outlineLevel="0" collapsed="false">
      <c r="B677" s="1"/>
    </row>
    <row r="678" customFormat="false" ht="15.75" hidden="false" customHeight="false" outlineLevel="0" collapsed="false">
      <c r="B678" s="1"/>
    </row>
    <row r="679" customFormat="false" ht="15.75" hidden="false" customHeight="false" outlineLevel="0" collapsed="false">
      <c r="B679" s="1"/>
    </row>
    <row r="680" customFormat="false" ht="15.75" hidden="false" customHeight="false" outlineLevel="0" collapsed="false">
      <c r="B680" s="1"/>
    </row>
    <row r="681" customFormat="false" ht="15.75" hidden="false" customHeight="false" outlineLevel="0" collapsed="false">
      <c r="B681" s="1"/>
    </row>
    <row r="682" customFormat="false" ht="15.75" hidden="false" customHeight="false" outlineLevel="0" collapsed="false">
      <c r="B682" s="1"/>
    </row>
    <row r="683" customFormat="false" ht="15.75" hidden="false" customHeight="false" outlineLevel="0" collapsed="false">
      <c r="B683" s="1"/>
    </row>
    <row r="684" customFormat="false" ht="15.75" hidden="false" customHeight="false" outlineLevel="0" collapsed="false">
      <c r="B684" s="1"/>
    </row>
    <row r="685" customFormat="false" ht="15.75" hidden="false" customHeight="false" outlineLevel="0" collapsed="false">
      <c r="B685" s="1"/>
    </row>
    <row r="686" customFormat="false" ht="15.75" hidden="false" customHeight="false" outlineLevel="0" collapsed="false">
      <c r="B686" s="1"/>
    </row>
    <row r="687" customFormat="false" ht="15.75" hidden="false" customHeight="false" outlineLevel="0" collapsed="false">
      <c r="B687" s="1"/>
    </row>
    <row r="688" customFormat="false" ht="15.75" hidden="false" customHeight="false" outlineLevel="0" collapsed="false">
      <c r="B688" s="1"/>
    </row>
    <row r="689" customFormat="false" ht="15.75" hidden="false" customHeight="false" outlineLevel="0" collapsed="false">
      <c r="B689" s="1"/>
    </row>
    <row r="690" customFormat="false" ht="15.75" hidden="false" customHeight="false" outlineLevel="0" collapsed="false">
      <c r="B690" s="1"/>
    </row>
    <row r="691" customFormat="false" ht="15.75" hidden="false" customHeight="false" outlineLevel="0" collapsed="false">
      <c r="B691" s="1"/>
    </row>
    <row r="692" customFormat="false" ht="15.75" hidden="false" customHeight="false" outlineLevel="0" collapsed="false">
      <c r="B692" s="1"/>
    </row>
    <row r="693" customFormat="false" ht="15.75" hidden="false" customHeight="false" outlineLevel="0" collapsed="false">
      <c r="B693" s="1"/>
    </row>
    <row r="694" customFormat="false" ht="15.75" hidden="false" customHeight="false" outlineLevel="0" collapsed="false">
      <c r="B694" s="1"/>
    </row>
    <row r="695" customFormat="false" ht="15.75" hidden="false" customHeight="false" outlineLevel="0" collapsed="false">
      <c r="B695" s="1"/>
    </row>
    <row r="696" customFormat="false" ht="15.75" hidden="false" customHeight="false" outlineLevel="0" collapsed="false">
      <c r="B696" s="1"/>
    </row>
    <row r="697" customFormat="false" ht="15.75" hidden="false" customHeight="false" outlineLevel="0" collapsed="false">
      <c r="B697" s="1"/>
    </row>
    <row r="698" customFormat="false" ht="15.75" hidden="false" customHeight="false" outlineLevel="0" collapsed="false">
      <c r="B698" s="1"/>
    </row>
    <row r="699" customFormat="false" ht="15.75" hidden="false" customHeight="false" outlineLevel="0" collapsed="false">
      <c r="B699" s="1"/>
    </row>
    <row r="700" customFormat="false" ht="15.75" hidden="false" customHeight="false" outlineLevel="0" collapsed="false">
      <c r="B700" s="1"/>
    </row>
    <row r="701" customFormat="false" ht="15.75" hidden="false" customHeight="false" outlineLevel="0" collapsed="false">
      <c r="B701" s="1"/>
    </row>
    <row r="702" customFormat="false" ht="15.75" hidden="false" customHeight="false" outlineLevel="0" collapsed="false">
      <c r="B702" s="1"/>
    </row>
    <row r="703" customFormat="false" ht="15.75" hidden="false" customHeight="false" outlineLevel="0" collapsed="false">
      <c r="B703" s="1"/>
    </row>
    <row r="704" customFormat="false" ht="15.75" hidden="false" customHeight="false" outlineLevel="0" collapsed="false">
      <c r="B704" s="1"/>
    </row>
    <row r="705" customFormat="false" ht="15.75" hidden="false" customHeight="false" outlineLevel="0" collapsed="false">
      <c r="B705" s="1"/>
    </row>
    <row r="706" customFormat="false" ht="15.75" hidden="false" customHeight="false" outlineLevel="0" collapsed="false">
      <c r="B706" s="1"/>
    </row>
    <row r="707" customFormat="false" ht="15.75" hidden="false" customHeight="false" outlineLevel="0" collapsed="false">
      <c r="B707" s="1"/>
    </row>
    <row r="708" customFormat="false" ht="15.75" hidden="false" customHeight="false" outlineLevel="0" collapsed="false">
      <c r="B708" s="1"/>
    </row>
    <row r="709" customFormat="false" ht="15.75" hidden="false" customHeight="false" outlineLevel="0" collapsed="false">
      <c r="B709" s="1"/>
    </row>
    <row r="710" customFormat="false" ht="15.75" hidden="false" customHeight="false" outlineLevel="0" collapsed="false">
      <c r="B710" s="1"/>
    </row>
    <row r="711" customFormat="false" ht="15.75" hidden="false" customHeight="false" outlineLevel="0" collapsed="false">
      <c r="B711" s="1"/>
    </row>
    <row r="712" customFormat="false" ht="15.75" hidden="false" customHeight="false" outlineLevel="0" collapsed="false">
      <c r="B712" s="1"/>
    </row>
    <row r="713" customFormat="false" ht="15.75" hidden="false" customHeight="false" outlineLevel="0" collapsed="false">
      <c r="B713" s="1"/>
    </row>
    <row r="714" customFormat="false" ht="15.75" hidden="false" customHeight="false" outlineLevel="0" collapsed="false">
      <c r="B714" s="1"/>
    </row>
    <row r="715" customFormat="false" ht="15.75" hidden="false" customHeight="false" outlineLevel="0" collapsed="false">
      <c r="B715" s="1"/>
    </row>
    <row r="716" customFormat="false" ht="15.75" hidden="false" customHeight="false" outlineLevel="0" collapsed="false">
      <c r="B716" s="1"/>
    </row>
    <row r="717" customFormat="false" ht="15.75" hidden="false" customHeight="false" outlineLevel="0" collapsed="false">
      <c r="B717" s="1"/>
    </row>
    <row r="718" customFormat="false" ht="15.75" hidden="false" customHeight="false" outlineLevel="0" collapsed="false">
      <c r="B718" s="1"/>
    </row>
    <row r="719" customFormat="false" ht="15.75" hidden="false" customHeight="false" outlineLevel="0" collapsed="false">
      <c r="B719" s="1"/>
    </row>
    <row r="720" customFormat="false" ht="15.75" hidden="false" customHeight="false" outlineLevel="0" collapsed="false">
      <c r="B720" s="1"/>
    </row>
    <row r="721" customFormat="false" ht="15.75" hidden="false" customHeight="false" outlineLevel="0" collapsed="false">
      <c r="B721" s="1"/>
    </row>
    <row r="722" customFormat="false" ht="15.75" hidden="false" customHeight="false" outlineLevel="0" collapsed="false">
      <c r="B722" s="1"/>
    </row>
    <row r="723" customFormat="false" ht="15.75" hidden="false" customHeight="false" outlineLevel="0" collapsed="false">
      <c r="B723" s="1"/>
    </row>
    <row r="724" customFormat="false" ht="15.75" hidden="false" customHeight="false" outlineLevel="0" collapsed="false">
      <c r="B724" s="1"/>
    </row>
    <row r="725" customFormat="false" ht="15.75" hidden="false" customHeight="false" outlineLevel="0" collapsed="false">
      <c r="B725" s="1"/>
    </row>
    <row r="726" customFormat="false" ht="15.75" hidden="false" customHeight="false" outlineLevel="0" collapsed="false">
      <c r="B726" s="1"/>
    </row>
    <row r="727" customFormat="false" ht="15.75" hidden="false" customHeight="false" outlineLevel="0" collapsed="false">
      <c r="B727" s="1"/>
    </row>
    <row r="728" customFormat="false" ht="15.75" hidden="false" customHeight="false" outlineLevel="0" collapsed="false">
      <c r="B728" s="1"/>
    </row>
    <row r="729" customFormat="false" ht="15.75" hidden="false" customHeight="false" outlineLevel="0" collapsed="false">
      <c r="B729" s="1"/>
    </row>
    <row r="730" customFormat="false" ht="15.75" hidden="false" customHeight="false" outlineLevel="0" collapsed="false">
      <c r="B730" s="1"/>
    </row>
    <row r="731" customFormat="false" ht="15.75" hidden="false" customHeight="false" outlineLevel="0" collapsed="false">
      <c r="B731" s="1"/>
    </row>
    <row r="732" customFormat="false" ht="15.75" hidden="false" customHeight="false" outlineLevel="0" collapsed="false">
      <c r="B732" s="1"/>
    </row>
    <row r="733" customFormat="false" ht="15.75" hidden="false" customHeight="false" outlineLevel="0" collapsed="false">
      <c r="B733" s="1"/>
    </row>
    <row r="734" customFormat="false" ht="15.75" hidden="false" customHeight="false" outlineLevel="0" collapsed="false">
      <c r="B734" s="1"/>
    </row>
    <row r="735" customFormat="false" ht="15.75" hidden="false" customHeight="false" outlineLevel="0" collapsed="false">
      <c r="B735" s="1"/>
    </row>
    <row r="736" customFormat="false" ht="15.75" hidden="false" customHeight="false" outlineLevel="0" collapsed="false">
      <c r="B736" s="1"/>
    </row>
    <row r="737" customFormat="false" ht="15.75" hidden="false" customHeight="false" outlineLevel="0" collapsed="false">
      <c r="B737" s="1"/>
    </row>
    <row r="738" customFormat="false" ht="15.75" hidden="false" customHeight="false" outlineLevel="0" collapsed="false">
      <c r="B738" s="1"/>
    </row>
    <row r="739" customFormat="false" ht="15.75" hidden="false" customHeight="false" outlineLevel="0" collapsed="false">
      <c r="B739" s="1"/>
    </row>
    <row r="740" customFormat="false" ht="15.75" hidden="false" customHeight="false" outlineLevel="0" collapsed="false">
      <c r="B740" s="1"/>
    </row>
    <row r="741" customFormat="false" ht="15.75" hidden="false" customHeight="false" outlineLevel="0" collapsed="false">
      <c r="B741" s="1"/>
    </row>
    <row r="742" customFormat="false" ht="15.75" hidden="false" customHeight="false" outlineLevel="0" collapsed="false">
      <c r="B742" s="1"/>
    </row>
    <row r="743" customFormat="false" ht="15.75" hidden="false" customHeight="false" outlineLevel="0" collapsed="false">
      <c r="B743" s="1"/>
    </row>
    <row r="744" customFormat="false" ht="15.75" hidden="false" customHeight="false" outlineLevel="0" collapsed="false">
      <c r="B744" s="1"/>
    </row>
    <row r="745" customFormat="false" ht="15.75" hidden="false" customHeight="false" outlineLevel="0" collapsed="false">
      <c r="B745" s="1"/>
    </row>
    <row r="746" customFormat="false" ht="15.75" hidden="false" customHeight="false" outlineLevel="0" collapsed="false">
      <c r="B746" s="1"/>
    </row>
    <row r="747" customFormat="false" ht="15.75" hidden="false" customHeight="false" outlineLevel="0" collapsed="false">
      <c r="B747" s="1"/>
    </row>
    <row r="748" customFormat="false" ht="15.75" hidden="false" customHeight="false" outlineLevel="0" collapsed="false">
      <c r="B748" s="1"/>
    </row>
    <row r="749" customFormat="false" ht="15.75" hidden="false" customHeight="false" outlineLevel="0" collapsed="false">
      <c r="B749" s="1"/>
    </row>
    <row r="750" customFormat="false" ht="15.75" hidden="false" customHeight="false" outlineLevel="0" collapsed="false">
      <c r="B750" s="1"/>
    </row>
    <row r="751" customFormat="false" ht="15.75" hidden="false" customHeight="false" outlineLevel="0" collapsed="false">
      <c r="B751" s="1"/>
    </row>
    <row r="752" customFormat="false" ht="15.75" hidden="false" customHeight="false" outlineLevel="0" collapsed="false">
      <c r="B752" s="1"/>
    </row>
    <row r="753" customFormat="false" ht="15.75" hidden="false" customHeight="false" outlineLevel="0" collapsed="false">
      <c r="B753" s="1"/>
    </row>
    <row r="754" customFormat="false" ht="15.75" hidden="false" customHeight="false" outlineLevel="0" collapsed="false">
      <c r="B754" s="1"/>
    </row>
    <row r="755" customFormat="false" ht="15.75" hidden="false" customHeight="false" outlineLevel="0" collapsed="false">
      <c r="B755" s="1"/>
    </row>
    <row r="756" customFormat="false" ht="15.75" hidden="false" customHeight="false" outlineLevel="0" collapsed="false">
      <c r="B756" s="1"/>
    </row>
    <row r="757" customFormat="false" ht="15.75" hidden="false" customHeight="false" outlineLevel="0" collapsed="false">
      <c r="B757" s="1"/>
    </row>
    <row r="758" customFormat="false" ht="15.75" hidden="false" customHeight="false" outlineLevel="0" collapsed="false">
      <c r="B758" s="1"/>
    </row>
    <row r="759" customFormat="false" ht="15.75" hidden="false" customHeight="false" outlineLevel="0" collapsed="false">
      <c r="B759" s="1"/>
    </row>
    <row r="760" customFormat="false" ht="15.75" hidden="false" customHeight="false" outlineLevel="0" collapsed="false">
      <c r="B760" s="1"/>
    </row>
    <row r="761" customFormat="false" ht="15.75" hidden="false" customHeight="false" outlineLevel="0" collapsed="false">
      <c r="B761" s="1"/>
    </row>
    <row r="762" customFormat="false" ht="15.75" hidden="false" customHeight="false" outlineLevel="0" collapsed="false">
      <c r="B762" s="1"/>
    </row>
    <row r="763" customFormat="false" ht="15.75" hidden="false" customHeight="false" outlineLevel="0" collapsed="false">
      <c r="B763" s="1"/>
    </row>
    <row r="764" customFormat="false" ht="15.75" hidden="false" customHeight="false" outlineLevel="0" collapsed="false">
      <c r="B764" s="1"/>
    </row>
    <row r="765" customFormat="false" ht="15.75" hidden="false" customHeight="false" outlineLevel="0" collapsed="false">
      <c r="B765" s="1"/>
    </row>
    <row r="766" customFormat="false" ht="15.75" hidden="false" customHeight="false" outlineLevel="0" collapsed="false">
      <c r="B766" s="1"/>
    </row>
    <row r="767" customFormat="false" ht="15.75" hidden="false" customHeight="false" outlineLevel="0" collapsed="false">
      <c r="B767" s="1"/>
    </row>
    <row r="768" customFormat="false" ht="15.75" hidden="false" customHeight="false" outlineLevel="0" collapsed="false">
      <c r="B768" s="1"/>
    </row>
    <row r="769" customFormat="false" ht="15.75" hidden="false" customHeight="false" outlineLevel="0" collapsed="false">
      <c r="B769" s="1"/>
    </row>
    <row r="770" customFormat="false" ht="15.75" hidden="false" customHeight="false" outlineLevel="0" collapsed="false">
      <c r="B770" s="1"/>
    </row>
    <row r="771" customFormat="false" ht="15.75" hidden="false" customHeight="false" outlineLevel="0" collapsed="false">
      <c r="B771" s="1"/>
    </row>
    <row r="772" customFormat="false" ht="15.75" hidden="false" customHeight="false" outlineLevel="0" collapsed="false">
      <c r="B772" s="1"/>
    </row>
    <row r="773" customFormat="false" ht="15.75" hidden="false" customHeight="false" outlineLevel="0" collapsed="false">
      <c r="B773" s="1"/>
    </row>
    <row r="774" customFormat="false" ht="15.75" hidden="false" customHeight="false" outlineLevel="0" collapsed="false">
      <c r="B774" s="1"/>
    </row>
    <row r="775" customFormat="false" ht="15.75" hidden="false" customHeight="false" outlineLevel="0" collapsed="false">
      <c r="B775" s="1"/>
    </row>
    <row r="776" customFormat="false" ht="15.75" hidden="false" customHeight="false" outlineLevel="0" collapsed="false">
      <c r="B776" s="1"/>
    </row>
    <row r="777" customFormat="false" ht="15.75" hidden="false" customHeight="false" outlineLevel="0" collapsed="false">
      <c r="B777" s="1"/>
    </row>
    <row r="778" customFormat="false" ht="15.75" hidden="false" customHeight="false" outlineLevel="0" collapsed="false">
      <c r="B778" s="1"/>
    </row>
    <row r="779" customFormat="false" ht="15.75" hidden="false" customHeight="false" outlineLevel="0" collapsed="false">
      <c r="B779" s="1"/>
    </row>
    <row r="780" customFormat="false" ht="15.75" hidden="false" customHeight="false" outlineLevel="0" collapsed="false">
      <c r="B780" s="1"/>
    </row>
    <row r="781" customFormat="false" ht="15.75" hidden="false" customHeight="false" outlineLevel="0" collapsed="false">
      <c r="B781" s="1"/>
    </row>
    <row r="782" customFormat="false" ht="15.75" hidden="false" customHeight="false" outlineLevel="0" collapsed="false">
      <c r="B782" s="1"/>
    </row>
    <row r="783" customFormat="false" ht="15.75" hidden="false" customHeight="false" outlineLevel="0" collapsed="false">
      <c r="B783" s="1"/>
    </row>
    <row r="784" customFormat="false" ht="15.75" hidden="false" customHeight="false" outlineLevel="0" collapsed="false">
      <c r="B784" s="1"/>
    </row>
    <row r="785" customFormat="false" ht="15.75" hidden="false" customHeight="false" outlineLevel="0" collapsed="false">
      <c r="B785" s="1"/>
    </row>
    <row r="786" customFormat="false" ht="15.75" hidden="false" customHeight="false" outlineLevel="0" collapsed="false">
      <c r="B786" s="1"/>
    </row>
    <row r="787" customFormat="false" ht="15.75" hidden="false" customHeight="false" outlineLevel="0" collapsed="false">
      <c r="B787" s="1"/>
    </row>
    <row r="788" customFormat="false" ht="15.75" hidden="false" customHeight="false" outlineLevel="0" collapsed="false">
      <c r="B788" s="1"/>
    </row>
    <row r="789" customFormat="false" ht="15.75" hidden="false" customHeight="false" outlineLevel="0" collapsed="false">
      <c r="B789" s="1"/>
    </row>
    <row r="790" customFormat="false" ht="15.75" hidden="false" customHeight="false" outlineLevel="0" collapsed="false">
      <c r="B790" s="1"/>
    </row>
    <row r="791" customFormat="false" ht="15.75" hidden="false" customHeight="false" outlineLevel="0" collapsed="false">
      <c r="B791" s="1"/>
    </row>
    <row r="792" customFormat="false" ht="15.75" hidden="false" customHeight="false" outlineLevel="0" collapsed="false">
      <c r="B792" s="1"/>
    </row>
    <row r="793" customFormat="false" ht="15.75" hidden="false" customHeight="false" outlineLevel="0" collapsed="false">
      <c r="B793" s="1"/>
    </row>
    <row r="794" customFormat="false" ht="15.75" hidden="false" customHeight="false" outlineLevel="0" collapsed="false">
      <c r="B794" s="1"/>
    </row>
    <row r="795" customFormat="false" ht="15.75" hidden="false" customHeight="false" outlineLevel="0" collapsed="false">
      <c r="B795" s="1"/>
    </row>
    <row r="796" customFormat="false" ht="15.75" hidden="false" customHeight="false" outlineLevel="0" collapsed="false">
      <c r="B796" s="1"/>
    </row>
    <row r="797" customFormat="false" ht="15.75" hidden="false" customHeight="false" outlineLevel="0" collapsed="false">
      <c r="B797" s="1"/>
    </row>
    <row r="798" customFormat="false" ht="15.75" hidden="false" customHeight="false" outlineLevel="0" collapsed="false">
      <c r="B798" s="1"/>
    </row>
    <row r="799" customFormat="false" ht="15.75" hidden="false" customHeight="false" outlineLevel="0" collapsed="false">
      <c r="B799" s="1"/>
    </row>
    <row r="800" customFormat="false" ht="15.75" hidden="false" customHeight="false" outlineLevel="0" collapsed="false">
      <c r="B800" s="1"/>
    </row>
    <row r="801" customFormat="false" ht="15.75" hidden="false" customHeight="false" outlineLevel="0" collapsed="false">
      <c r="B801" s="1"/>
    </row>
    <row r="802" customFormat="false" ht="15.75" hidden="false" customHeight="false" outlineLevel="0" collapsed="false">
      <c r="B802" s="1"/>
    </row>
    <row r="803" customFormat="false" ht="15.75" hidden="false" customHeight="false" outlineLevel="0" collapsed="false">
      <c r="B803" s="1"/>
    </row>
    <row r="804" customFormat="false" ht="15.75" hidden="false" customHeight="false" outlineLevel="0" collapsed="false">
      <c r="B804" s="1"/>
    </row>
    <row r="805" customFormat="false" ht="15.75" hidden="false" customHeight="false" outlineLevel="0" collapsed="false">
      <c r="B805" s="1"/>
    </row>
    <row r="806" customFormat="false" ht="15.75" hidden="false" customHeight="false" outlineLevel="0" collapsed="false">
      <c r="B806" s="1"/>
    </row>
    <row r="807" customFormat="false" ht="15.75" hidden="false" customHeight="false" outlineLevel="0" collapsed="false">
      <c r="B807" s="1"/>
    </row>
    <row r="808" customFormat="false" ht="15.75" hidden="false" customHeight="false" outlineLevel="0" collapsed="false">
      <c r="B808" s="1"/>
    </row>
    <row r="809" customFormat="false" ht="15.75" hidden="false" customHeight="false" outlineLevel="0" collapsed="false">
      <c r="B809" s="1"/>
    </row>
    <row r="810" customFormat="false" ht="15.75" hidden="false" customHeight="false" outlineLevel="0" collapsed="false">
      <c r="B810" s="1"/>
    </row>
    <row r="811" customFormat="false" ht="15.75" hidden="false" customHeight="false" outlineLevel="0" collapsed="false">
      <c r="B811" s="1"/>
    </row>
    <row r="812" customFormat="false" ht="15.75" hidden="false" customHeight="false" outlineLevel="0" collapsed="false">
      <c r="B812" s="1"/>
    </row>
    <row r="813" customFormat="false" ht="15.75" hidden="false" customHeight="false" outlineLevel="0" collapsed="false">
      <c r="B813" s="1"/>
    </row>
    <row r="814" customFormat="false" ht="15.75" hidden="false" customHeight="false" outlineLevel="0" collapsed="false">
      <c r="B814" s="1"/>
    </row>
    <row r="815" customFormat="false" ht="15.75" hidden="false" customHeight="false" outlineLevel="0" collapsed="false">
      <c r="B815" s="1"/>
    </row>
    <row r="816" customFormat="false" ht="15.75" hidden="false" customHeight="false" outlineLevel="0" collapsed="false">
      <c r="B816" s="1"/>
    </row>
    <row r="817" customFormat="false" ht="15.75" hidden="false" customHeight="false" outlineLevel="0" collapsed="false">
      <c r="B817" s="1"/>
    </row>
    <row r="818" customFormat="false" ht="15.75" hidden="false" customHeight="false" outlineLevel="0" collapsed="false">
      <c r="B818" s="1"/>
    </row>
    <row r="819" customFormat="false" ht="15.75" hidden="false" customHeight="false" outlineLevel="0" collapsed="false">
      <c r="B819" s="1"/>
    </row>
    <row r="820" customFormat="false" ht="15.75" hidden="false" customHeight="false" outlineLevel="0" collapsed="false">
      <c r="B820" s="1"/>
    </row>
    <row r="821" customFormat="false" ht="15.75" hidden="false" customHeight="false" outlineLevel="0" collapsed="false">
      <c r="B821" s="1"/>
    </row>
    <row r="822" customFormat="false" ht="15.75" hidden="false" customHeight="false" outlineLevel="0" collapsed="false">
      <c r="B822" s="1"/>
    </row>
    <row r="823" customFormat="false" ht="15.75" hidden="false" customHeight="false" outlineLevel="0" collapsed="false">
      <c r="B823" s="1"/>
    </row>
    <row r="824" customFormat="false" ht="15.75" hidden="false" customHeight="false" outlineLevel="0" collapsed="false">
      <c r="B824" s="1"/>
    </row>
    <row r="825" customFormat="false" ht="15.75" hidden="false" customHeight="false" outlineLevel="0" collapsed="false">
      <c r="B825" s="1"/>
    </row>
    <row r="826" customFormat="false" ht="15.75" hidden="false" customHeight="false" outlineLevel="0" collapsed="false">
      <c r="B826" s="1"/>
    </row>
    <row r="827" customFormat="false" ht="15.75" hidden="false" customHeight="false" outlineLevel="0" collapsed="false">
      <c r="B827" s="1"/>
    </row>
    <row r="828" customFormat="false" ht="15.75" hidden="false" customHeight="false" outlineLevel="0" collapsed="false">
      <c r="B828" s="1"/>
    </row>
    <row r="829" customFormat="false" ht="15.75" hidden="false" customHeight="false" outlineLevel="0" collapsed="false">
      <c r="B829" s="1"/>
    </row>
    <row r="830" customFormat="false" ht="15.75" hidden="false" customHeight="false" outlineLevel="0" collapsed="false">
      <c r="B830" s="1"/>
    </row>
    <row r="831" customFormat="false" ht="15.75" hidden="false" customHeight="false" outlineLevel="0" collapsed="false">
      <c r="B831" s="1"/>
    </row>
    <row r="832" customFormat="false" ht="15.75" hidden="false" customHeight="false" outlineLevel="0" collapsed="false">
      <c r="B832" s="1"/>
    </row>
    <row r="833" customFormat="false" ht="15.75" hidden="false" customHeight="false" outlineLevel="0" collapsed="false">
      <c r="B833" s="1"/>
    </row>
    <row r="834" customFormat="false" ht="15.75" hidden="false" customHeight="false" outlineLevel="0" collapsed="false">
      <c r="B834" s="1"/>
    </row>
    <row r="835" customFormat="false" ht="15.75" hidden="false" customHeight="false" outlineLevel="0" collapsed="false">
      <c r="B835" s="1"/>
    </row>
    <row r="836" customFormat="false" ht="15.75" hidden="false" customHeight="false" outlineLevel="0" collapsed="false">
      <c r="B836" s="1"/>
    </row>
    <row r="837" customFormat="false" ht="15.75" hidden="false" customHeight="false" outlineLevel="0" collapsed="false">
      <c r="B837" s="1"/>
    </row>
    <row r="838" customFormat="false" ht="15.75" hidden="false" customHeight="false" outlineLevel="0" collapsed="false">
      <c r="B838" s="1"/>
    </row>
    <row r="839" customFormat="false" ht="15.75" hidden="false" customHeight="false" outlineLevel="0" collapsed="false">
      <c r="B839" s="1"/>
    </row>
    <row r="840" customFormat="false" ht="15.75" hidden="false" customHeight="false" outlineLevel="0" collapsed="false">
      <c r="B840" s="1"/>
    </row>
    <row r="841" customFormat="false" ht="15.75" hidden="false" customHeight="false" outlineLevel="0" collapsed="false">
      <c r="B841" s="1"/>
    </row>
    <row r="842" customFormat="false" ht="15.75" hidden="false" customHeight="false" outlineLevel="0" collapsed="false">
      <c r="B842" s="1"/>
    </row>
    <row r="843" customFormat="false" ht="15.75" hidden="false" customHeight="false" outlineLevel="0" collapsed="false">
      <c r="B843" s="1"/>
    </row>
    <row r="844" customFormat="false" ht="15.75" hidden="false" customHeight="false" outlineLevel="0" collapsed="false">
      <c r="B844" s="1"/>
    </row>
    <row r="845" customFormat="false" ht="15.75" hidden="false" customHeight="false" outlineLevel="0" collapsed="false">
      <c r="B845" s="1"/>
    </row>
    <row r="846" customFormat="false" ht="15.75" hidden="false" customHeight="false" outlineLevel="0" collapsed="false">
      <c r="B846" s="1"/>
    </row>
    <row r="847" customFormat="false" ht="15.75" hidden="false" customHeight="false" outlineLevel="0" collapsed="false">
      <c r="B847" s="1"/>
    </row>
    <row r="848" customFormat="false" ht="15.75" hidden="false" customHeight="false" outlineLevel="0" collapsed="false">
      <c r="B848" s="1"/>
    </row>
    <row r="849" customFormat="false" ht="15.75" hidden="false" customHeight="false" outlineLevel="0" collapsed="false">
      <c r="B849" s="1"/>
    </row>
    <row r="850" customFormat="false" ht="15.75" hidden="false" customHeight="false" outlineLevel="0" collapsed="false">
      <c r="B850" s="1"/>
    </row>
    <row r="851" customFormat="false" ht="15.75" hidden="false" customHeight="false" outlineLevel="0" collapsed="false">
      <c r="B851" s="1"/>
    </row>
    <row r="852" customFormat="false" ht="15.75" hidden="false" customHeight="false" outlineLevel="0" collapsed="false">
      <c r="B852" s="1"/>
    </row>
    <row r="853" customFormat="false" ht="15.75" hidden="false" customHeight="false" outlineLevel="0" collapsed="false">
      <c r="B853" s="1"/>
    </row>
    <row r="854" customFormat="false" ht="15.75" hidden="false" customHeight="false" outlineLevel="0" collapsed="false">
      <c r="B854" s="1"/>
    </row>
    <row r="855" customFormat="false" ht="15.75" hidden="false" customHeight="false" outlineLevel="0" collapsed="false">
      <c r="B855" s="1"/>
    </row>
    <row r="856" customFormat="false" ht="15.75" hidden="false" customHeight="false" outlineLevel="0" collapsed="false">
      <c r="B856" s="1"/>
    </row>
    <row r="857" customFormat="false" ht="15.75" hidden="false" customHeight="false" outlineLevel="0" collapsed="false">
      <c r="B857" s="1"/>
    </row>
    <row r="858" customFormat="false" ht="15.75" hidden="false" customHeight="false" outlineLevel="0" collapsed="false">
      <c r="B858" s="1"/>
    </row>
    <row r="859" customFormat="false" ht="15.75" hidden="false" customHeight="false" outlineLevel="0" collapsed="false">
      <c r="B859" s="1"/>
    </row>
    <row r="860" customFormat="false" ht="15.75" hidden="false" customHeight="false" outlineLevel="0" collapsed="false">
      <c r="B860" s="1"/>
    </row>
    <row r="861" customFormat="false" ht="15.75" hidden="false" customHeight="false" outlineLevel="0" collapsed="false">
      <c r="B861" s="1"/>
    </row>
    <row r="862" customFormat="false" ht="15.75" hidden="false" customHeight="false" outlineLevel="0" collapsed="false">
      <c r="B862" s="1"/>
    </row>
    <row r="863" customFormat="false" ht="15.75" hidden="false" customHeight="false" outlineLevel="0" collapsed="false">
      <c r="B863" s="1"/>
    </row>
    <row r="864" customFormat="false" ht="15.75" hidden="false" customHeight="false" outlineLevel="0" collapsed="false">
      <c r="B864" s="1"/>
    </row>
    <row r="865" customFormat="false" ht="15.75" hidden="false" customHeight="false" outlineLevel="0" collapsed="false">
      <c r="B865" s="1"/>
    </row>
    <row r="866" customFormat="false" ht="15.75" hidden="false" customHeight="false" outlineLevel="0" collapsed="false">
      <c r="B866" s="1"/>
    </row>
    <row r="867" customFormat="false" ht="15.75" hidden="false" customHeight="false" outlineLevel="0" collapsed="false">
      <c r="B867" s="1"/>
    </row>
    <row r="868" customFormat="false" ht="15.75" hidden="false" customHeight="false" outlineLevel="0" collapsed="false">
      <c r="B868" s="1"/>
    </row>
    <row r="869" customFormat="false" ht="15.75" hidden="false" customHeight="false" outlineLevel="0" collapsed="false">
      <c r="B869" s="1"/>
    </row>
    <row r="870" customFormat="false" ht="15.75" hidden="false" customHeight="false" outlineLevel="0" collapsed="false">
      <c r="B870" s="1"/>
    </row>
    <row r="871" customFormat="false" ht="15.75" hidden="false" customHeight="false" outlineLevel="0" collapsed="false">
      <c r="B871" s="1"/>
    </row>
    <row r="872" customFormat="false" ht="15.75" hidden="false" customHeight="false" outlineLevel="0" collapsed="false">
      <c r="B872" s="1"/>
    </row>
    <row r="873" customFormat="false" ht="15.75" hidden="false" customHeight="false" outlineLevel="0" collapsed="false">
      <c r="B873" s="1"/>
    </row>
    <row r="874" customFormat="false" ht="15.75" hidden="false" customHeight="false" outlineLevel="0" collapsed="false">
      <c r="B874" s="1"/>
    </row>
    <row r="875" customFormat="false" ht="15.75" hidden="false" customHeight="false" outlineLevel="0" collapsed="false">
      <c r="B875" s="1"/>
    </row>
    <row r="876" customFormat="false" ht="15.75" hidden="false" customHeight="false" outlineLevel="0" collapsed="false">
      <c r="B876" s="1"/>
    </row>
    <row r="877" customFormat="false" ht="15.75" hidden="false" customHeight="false" outlineLevel="0" collapsed="false">
      <c r="B877" s="1"/>
    </row>
    <row r="878" customFormat="false" ht="15.75" hidden="false" customHeight="false" outlineLevel="0" collapsed="false">
      <c r="B878" s="1"/>
    </row>
    <row r="879" customFormat="false" ht="15.75" hidden="false" customHeight="false" outlineLevel="0" collapsed="false">
      <c r="B879" s="1"/>
    </row>
    <row r="880" customFormat="false" ht="15.75" hidden="false" customHeight="false" outlineLevel="0" collapsed="false">
      <c r="B880" s="1"/>
    </row>
    <row r="881" customFormat="false" ht="15.75" hidden="false" customHeight="false" outlineLevel="0" collapsed="false">
      <c r="B881" s="1"/>
    </row>
    <row r="882" customFormat="false" ht="15.75" hidden="false" customHeight="false" outlineLevel="0" collapsed="false">
      <c r="B882" s="1"/>
    </row>
    <row r="883" customFormat="false" ht="15.75" hidden="false" customHeight="false" outlineLevel="0" collapsed="false">
      <c r="B883" s="1"/>
    </row>
    <row r="884" customFormat="false" ht="15.75" hidden="false" customHeight="false" outlineLevel="0" collapsed="false">
      <c r="B884" s="1"/>
    </row>
    <row r="885" customFormat="false" ht="15.75" hidden="false" customHeight="false" outlineLevel="0" collapsed="false">
      <c r="B885" s="1"/>
    </row>
    <row r="886" customFormat="false" ht="15.75" hidden="false" customHeight="false" outlineLevel="0" collapsed="false">
      <c r="B886" s="1"/>
    </row>
    <row r="887" customFormat="false" ht="15.75" hidden="false" customHeight="false" outlineLevel="0" collapsed="false">
      <c r="B887" s="1"/>
    </row>
    <row r="888" customFormat="false" ht="15.75" hidden="false" customHeight="false" outlineLevel="0" collapsed="false">
      <c r="B888" s="1"/>
    </row>
    <row r="889" customFormat="false" ht="15.75" hidden="false" customHeight="false" outlineLevel="0" collapsed="false">
      <c r="B889" s="1"/>
    </row>
    <row r="890" customFormat="false" ht="15.75" hidden="false" customHeight="false" outlineLevel="0" collapsed="false">
      <c r="B890" s="1"/>
    </row>
    <row r="891" customFormat="false" ht="15.75" hidden="false" customHeight="false" outlineLevel="0" collapsed="false">
      <c r="B891" s="1"/>
    </row>
    <row r="892" customFormat="false" ht="15.75" hidden="false" customHeight="false" outlineLevel="0" collapsed="false">
      <c r="B892" s="1"/>
    </row>
    <row r="893" customFormat="false" ht="15.75" hidden="false" customHeight="false" outlineLevel="0" collapsed="false">
      <c r="B893" s="1"/>
    </row>
    <row r="894" customFormat="false" ht="15.75" hidden="false" customHeight="false" outlineLevel="0" collapsed="false">
      <c r="B894" s="1"/>
    </row>
    <row r="895" customFormat="false" ht="15.75" hidden="false" customHeight="false" outlineLevel="0" collapsed="false">
      <c r="B895" s="1"/>
    </row>
    <row r="896" customFormat="false" ht="15.75" hidden="false" customHeight="false" outlineLevel="0" collapsed="false">
      <c r="B896" s="1"/>
    </row>
    <row r="897" customFormat="false" ht="15.75" hidden="false" customHeight="false" outlineLevel="0" collapsed="false">
      <c r="B897" s="1"/>
    </row>
    <row r="898" customFormat="false" ht="15.75" hidden="false" customHeight="false" outlineLevel="0" collapsed="false">
      <c r="B898" s="1"/>
    </row>
    <row r="899" customFormat="false" ht="15.75" hidden="false" customHeight="false" outlineLevel="0" collapsed="false">
      <c r="B899" s="1"/>
    </row>
    <row r="900" customFormat="false" ht="15.75" hidden="false" customHeight="false" outlineLevel="0" collapsed="false">
      <c r="B900" s="1"/>
    </row>
    <row r="901" customFormat="false" ht="15.75" hidden="false" customHeight="false" outlineLevel="0" collapsed="false">
      <c r="B901" s="1"/>
    </row>
    <row r="902" customFormat="false" ht="15.75" hidden="false" customHeight="false" outlineLevel="0" collapsed="false">
      <c r="B902" s="1"/>
    </row>
    <row r="903" customFormat="false" ht="15.75" hidden="false" customHeight="false" outlineLevel="0" collapsed="false">
      <c r="B903" s="1"/>
    </row>
    <row r="904" customFormat="false" ht="15.75" hidden="false" customHeight="false" outlineLevel="0" collapsed="false">
      <c r="B904" s="1"/>
    </row>
    <row r="905" customFormat="false" ht="15.75" hidden="false" customHeight="false" outlineLevel="0" collapsed="false">
      <c r="B905" s="1"/>
    </row>
    <row r="906" customFormat="false" ht="15.75" hidden="false" customHeight="false" outlineLevel="0" collapsed="false">
      <c r="B906" s="1"/>
    </row>
    <row r="907" customFormat="false" ht="15.75" hidden="false" customHeight="false" outlineLevel="0" collapsed="false">
      <c r="B907" s="1"/>
    </row>
    <row r="908" customFormat="false" ht="15.75" hidden="false" customHeight="false" outlineLevel="0" collapsed="false">
      <c r="B908" s="1"/>
    </row>
    <row r="909" customFormat="false" ht="15.75" hidden="false" customHeight="false" outlineLevel="0" collapsed="false">
      <c r="B909" s="1"/>
    </row>
    <row r="910" customFormat="false" ht="15.75" hidden="false" customHeight="false" outlineLevel="0" collapsed="false">
      <c r="B910" s="1"/>
    </row>
    <row r="911" customFormat="false" ht="15.75" hidden="false" customHeight="false" outlineLevel="0" collapsed="false">
      <c r="B911" s="1"/>
    </row>
    <row r="912" customFormat="false" ht="15.75" hidden="false" customHeight="false" outlineLevel="0" collapsed="false">
      <c r="B912" s="1"/>
    </row>
    <row r="913" customFormat="false" ht="15.75" hidden="false" customHeight="false" outlineLevel="0" collapsed="false">
      <c r="B913" s="1"/>
    </row>
    <row r="914" customFormat="false" ht="15.75" hidden="false" customHeight="false" outlineLevel="0" collapsed="false">
      <c r="B914" s="1"/>
    </row>
    <row r="915" customFormat="false" ht="15.75" hidden="false" customHeight="false" outlineLevel="0" collapsed="false">
      <c r="B915" s="1"/>
    </row>
    <row r="916" customFormat="false" ht="15.75" hidden="false" customHeight="false" outlineLevel="0" collapsed="false">
      <c r="B916" s="1"/>
    </row>
    <row r="917" customFormat="false" ht="15.75" hidden="false" customHeight="false" outlineLevel="0" collapsed="false">
      <c r="B917" s="1"/>
    </row>
    <row r="918" customFormat="false" ht="15.75" hidden="false" customHeight="false" outlineLevel="0" collapsed="false">
      <c r="B918" s="1"/>
    </row>
    <row r="919" customFormat="false" ht="15.75" hidden="false" customHeight="false" outlineLevel="0" collapsed="false">
      <c r="B919" s="1"/>
    </row>
    <row r="920" customFormat="false" ht="15.75" hidden="false" customHeight="false" outlineLevel="0" collapsed="false">
      <c r="B920" s="1"/>
    </row>
    <row r="921" customFormat="false" ht="15.75" hidden="false" customHeight="false" outlineLevel="0" collapsed="false">
      <c r="B921" s="1"/>
    </row>
    <row r="922" customFormat="false" ht="15.75" hidden="false" customHeight="false" outlineLevel="0" collapsed="false">
      <c r="B922" s="1"/>
    </row>
    <row r="923" customFormat="false" ht="15.75" hidden="false" customHeight="false" outlineLevel="0" collapsed="false">
      <c r="B923" s="1"/>
    </row>
    <row r="924" customFormat="false" ht="15.75" hidden="false" customHeight="false" outlineLevel="0" collapsed="false">
      <c r="B924" s="1"/>
    </row>
    <row r="925" customFormat="false" ht="15.75" hidden="false" customHeight="false" outlineLevel="0" collapsed="false">
      <c r="B925" s="1"/>
    </row>
    <row r="926" customFormat="false" ht="15.75" hidden="false" customHeight="false" outlineLevel="0" collapsed="false">
      <c r="B926" s="1"/>
    </row>
    <row r="927" customFormat="false" ht="15.75" hidden="false" customHeight="false" outlineLevel="0" collapsed="false">
      <c r="B927" s="1"/>
    </row>
    <row r="928" customFormat="false" ht="15.75" hidden="false" customHeight="false" outlineLevel="0" collapsed="false">
      <c r="B928" s="1"/>
    </row>
    <row r="929" customFormat="false" ht="15.75" hidden="false" customHeight="false" outlineLevel="0" collapsed="false">
      <c r="B929" s="1"/>
    </row>
    <row r="930" customFormat="false" ht="15.75" hidden="false" customHeight="false" outlineLevel="0" collapsed="false">
      <c r="B930" s="1"/>
    </row>
    <row r="931" customFormat="false" ht="15.75" hidden="false" customHeight="false" outlineLevel="0" collapsed="false">
      <c r="B931" s="1"/>
    </row>
    <row r="932" customFormat="false" ht="15.75" hidden="false" customHeight="false" outlineLevel="0" collapsed="false">
      <c r="B932" s="1"/>
    </row>
    <row r="933" customFormat="false" ht="15.75" hidden="false" customHeight="false" outlineLevel="0" collapsed="false">
      <c r="B933" s="1"/>
    </row>
    <row r="934" customFormat="false" ht="15.75" hidden="false" customHeight="false" outlineLevel="0" collapsed="false">
      <c r="B934" s="1"/>
    </row>
    <row r="935" customFormat="false" ht="15.75" hidden="false" customHeight="false" outlineLevel="0" collapsed="false">
      <c r="B935" s="1"/>
    </row>
    <row r="936" customFormat="false" ht="15.75" hidden="false" customHeight="false" outlineLevel="0" collapsed="false">
      <c r="B936" s="1"/>
    </row>
    <row r="937" customFormat="false" ht="15.75" hidden="false" customHeight="false" outlineLevel="0" collapsed="false">
      <c r="B937" s="1"/>
    </row>
    <row r="938" customFormat="false" ht="15.75" hidden="false" customHeight="false" outlineLevel="0" collapsed="false">
      <c r="B938" s="1"/>
    </row>
    <row r="939" customFormat="false" ht="15.75" hidden="false" customHeight="false" outlineLevel="0" collapsed="false">
      <c r="B939" s="1"/>
    </row>
    <row r="940" customFormat="false" ht="15.75" hidden="false" customHeight="false" outlineLevel="0" collapsed="false">
      <c r="B940" s="1"/>
    </row>
    <row r="941" customFormat="false" ht="15.75" hidden="false" customHeight="false" outlineLevel="0" collapsed="false">
      <c r="B941" s="1"/>
    </row>
    <row r="942" customFormat="false" ht="15.75" hidden="false" customHeight="false" outlineLevel="0" collapsed="false">
      <c r="B942" s="1"/>
    </row>
    <row r="943" customFormat="false" ht="15.75" hidden="false" customHeight="false" outlineLevel="0" collapsed="false">
      <c r="B943" s="1"/>
    </row>
    <row r="944" customFormat="false" ht="15.75" hidden="false" customHeight="false" outlineLevel="0" collapsed="false">
      <c r="B944" s="1"/>
    </row>
    <row r="945" customFormat="false" ht="15.75" hidden="false" customHeight="false" outlineLevel="0" collapsed="false">
      <c r="B945" s="1"/>
    </row>
    <row r="946" customFormat="false" ht="15.75" hidden="false" customHeight="false" outlineLevel="0" collapsed="false">
      <c r="B946" s="1"/>
    </row>
    <row r="947" customFormat="false" ht="15.75" hidden="false" customHeight="false" outlineLevel="0" collapsed="false">
      <c r="B947" s="1"/>
    </row>
    <row r="948" customFormat="false" ht="15.75" hidden="false" customHeight="false" outlineLevel="0" collapsed="false">
      <c r="B948" s="1"/>
    </row>
    <row r="949" customFormat="false" ht="15.75" hidden="false" customHeight="false" outlineLevel="0" collapsed="false">
      <c r="B949" s="1"/>
    </row>
    <row r="950" customFormat="false" ht="15.75" hidden="false" customHeight="false" outlineLevel="0" collapsed="false">
      <c r="B950" s="1"/>
    </row>
    <row r="951" customFormat="false" ht="15.75" hidden="false" customHeight="false" outlineLevel="0" collapsed="false">
      <c r="B951" s="1"/>
    </row>
    <row r="952" customFormat="false" ht="15.75" hidden="false" customHeight="false" outlineLevel="0" collapsed="false">
      <c r="B952" s="1"/>
    </row>
    <row r="953" customFormat="false" ht="15.75" hidden="false" customHeight="false" outlineLevel="0" collapsed="false">
      <c r="B953" s="1"/>
    </row>
    <row r="954" customFormat="false" ht="15.75" hidden="false" customHeight="false" outlineLevel="0" collapsed="false">
      <c r="B954" s="1"/>
    </row>
    <row r="955" customFormat="false" ht="15.75" hidden="false" customHeight="false" outlineLevel="0" collapsed="false">
      <c r="B955" s="1"/>
    </row>
    <row r="956" customFormat="false" ht="15.75" hidden="false" customHeight="false" outlineLevel="0" collapsed="false">
      <c r="B956" s="1"/>
    </row>
    <row r="957" customFormat="false" ht="15.75" hidden="false" customHeight="false" outlineLevel="0" collapsed="false">
      <c r="B957" s="1"/>
    </row>
    <row r="958" customFormat="false" ht="15.75" hidden="false" customHeight="false" outlineLevel="0" collapsed="false">
      <c r="B958" s="1"/>
    </row>
    <row r="959" customFormat="false" ht="15.75" hidden="false" customHeight="false" outlineLevel="0" collapsed="false">
      <c r="B959" s="1"/>
    </row>
    <row r="960" customFormat="false" ht="15.75" hidden="false" customHeight="false" outlineLevel="0" collapsed="false">
      <c r="B960" s="1"/>
    </row>
    <row r="961" customFormat="false" ht="15.75" hidden="false" customHeight="false" outlineLevel="0" collapsed="false">
      <c r="B961" s="1"/>
    </row>
    <row r="962" customFormat="false" ht="15.75" hidden="false" customHeight="false" outlineLevel="0" collapsed="false">
      <c r="B962" s="1"/>
    </row>
    <row r="963" customFormat="false" ht="15.75" hidden="false" customHeight="false" outlineLevel="0" collapsed="false">
      <c r="B963" s="1"/>
    </row>
    <row r="964" customFormat="false" ht="15.75" hidden="false" customHeight="false" outlineLevel="0" collapsed="false">
      <c r="B964" s="1"/>
    </row>
    <row r="965" customFormat="false" ht="15.75" hidden="false" customHeight="false" outlineLevel="0" collapsed="false">
      <c r="B965" s="1"/>
    </row>
    <row r="966" customFormat="false" ht="15.75" hidden="false" customHeight="false" outlineLevel="0" collapsed="false">
      <c r="B966" s="1"/>
    </row>
    <row r="967" customFormat="false" ht="15.75" hidden="false" customHeight="false" outlineLevel="0" collapsed="false">
      <c r="B967" s="1"/>
    </row>
    <row r="968" customFormat="false" ht="15.75" hidden="false" customHeight="false" outlineLevel="0" collapsed="false">
      <c r="B968" s="1"/>
    </row>
    <row r="969" customFormat="false" ht="15.75" hidden="false" customHeight="false" outlineLevel="0" collapsed="false">
      <c r="B969" s="1"/>
    </row>
    <row r="970" customFormat="false" ht="15.75" hidden="false" customHeight="false" outlineLevel="0" collapsed="false">
      <c r="B970" s="1"/>
    </row>
    <row r="971" customFormat="false" ht="15.75" hidden="false" customHeight="false" outlineLevel="0" collapsed="false">
      <c r="B971" s="1"/>
    </row>
    <row r="972" customFormat="false" ht="15.75" hidden="false" customHeight="false" outlineLevel="0" collapsed="false">
      <c r="B972" s="1"/>
    </row>
    <row r="973" customFormat="false" ht="15.75" hidden="false" customHeight="false" outlineLevel="0" collapsed="false">
      <c r="B973" s="1"/>
    </row>
    <row r="974" customFormat="false" ht="15.75" hidden="false" customHeight="false" outlineLevel="0" collapsed="false">
      <c r="B974" s="1"/>
    </row>
    <row r="975" customFormat="false" ht="15.75" hidden="false" customHeight="false" outlineLevel="0" collapsed="false">
      <c r="B975" s="1"/>
    </row>
    <row r="976" customFormat="false" ht="15.75" hidden="false" customHeight="false" outlineLevel="0" collapsed="false">
      <c r="B976" s="1"/>
    </row>
    <row r="977" customFormat="false" ht="15.75" hidden="false" customHeight="false" outlineLevel="0" collapsed="false">
      <c r="B977" s="1"/>
    </row>
    <row r="978" customFormat="false" ht="15.75" hidden="false" customHeight="false" outlineLevel="0" collapsed="false">
      <c r="B978" s="1"/>
    </row>
    <row r="979" customFormat="false" ht="15.75" hidden="false" customHeight="false" outlineLevel="0" collapsed="false">
      <c r="B979" s="1"/>
    </row>
    <row r="980" customFormat="false" ht="15.75" hidden="false" customHeight="false" outlineLevel="0" collapsed="false">
      <c r="B980" s="1"/>
    </row>
    <row r="981" customFormat="false" ht="15.75" hidden="false" customHeight="false" outlineLevel="0" collapsed="false">
      <c r="B981" s="1"/>
    </row>
    <row r="982" customFormat="false" ht="15.75" hidden="false" customHeight="false" outlineLevel="0" collapsed="false">
      <c r="B982" s="1"/>
    </row>
    <row r="983" customFormat="false" ht="15.75" hidden="false" customHeight="false" outlineLevel="0" collapsed="false">
      <c r="B983" s="1"/>
    </row>
    <row r="984" customFormat="false" ht="15.75" hidden="false" customHeight="false" outlineLevel="0" collapsed="false">
      <c r="B984" s="1"/>
    </row>
    <row r="985" customFormat="false" ht="15.75" hidden="false" customHeight="false" outlineLevel="0" collapsed="false">
      <c r="B985" s="1"/>
    </row>
    <row r="986" customFormat="false" ht="15.75" hidden="false" customHeight="false" outlineLevel="0" collapsed="false">
      <c r="B986" s="1"/>
    </row>
    <row r="987" customFormat="false" ht="15.75" hidden="false" customHeight="false" outlineLevel="0" collapsed="false">
      <c r="B987" s="1"/>
    </row>
    <row r="988" customFormat="false" ht="15.75" hidden="false" customHeight="false" outlineLevel="0" collapsed="false">
      <c r="B988" s="1"/>
    </row>
    <row r="989" customFormat="false" ht="15.75" hidden="false" customHeight="false" outlineLevel="0" collapsed="false">
      <c r="B989" s="1"/>
    </row>
    <row r="990" customFormat="false" ht="15.75" hidden="false" customHeight="false" outlineLevel="0" collapsed="false">
      <c r="B990" s="1"/>
    </row>
    <row r="991" customFormat="false" ht="15.75" hidden="false" customHeight="false" outlineLevel="0" collapsed="false">
      <c r="B991" s="1"/>
    </row>
    <row r="992" customFormat="false" ht="15.75" hidden="false" customHeight="false" outlineLevel="0" collapsed="false">
      <c r="B992" s="1"/>
    </row>
    <row r="993" customFormat="false" ht="15.75" hidden="false" customHeight="false" outlineLevel="0" collapsed="false">
      <c r="B993" s="1"/>
    </row>
    <row r="994" customFormat="false" ht="15.75" hidden="false" customHeight="false" outlineLevel="0" collapsed="false">
      <c r="B994" s="1"/>
    </row>
    <row r="995" customFormat="false" ht="15.75" hidden="false" customHeight="false" outlineLevel="0" collapsed="false">
      <c r="B995" s="1"/>
    </row>
    <row r="996" customFormat="false" ht="15.75" hidden="false" customHeight="false" outlineLevel="0" collapsed="false">
      <c r="B996" s="1"/>
    </row>
    <row r="997" customFormat="false" ht="15.75" hidden="false" customHeight="false" outlineLevel="0" collapsed="false">
      <c r="B997" s="1"/>
    </row>
    <row r="998" customFormat="false" ht="15.75" hidden="false" customHeight="false" outlineLevel="0" collapsed="false">
      <c r="B998" s="1"/>
    </row>
    <row r="999" customFormat="false" ht="15.75" hidden="false" customHeight="false" outlineLevel="0" collapsed="false">
      <c r="B999" s="1"/>
    </row>
    <row r="1000" customFormat="false" ht="15.75" hidden="false" customHeight="false" outlineLevel="0" collapsed="false">
      <c r="B1000" s="1"/>
    </row>
    <row r="1001" customFormat="false" ht="15.75" hidden="false" customHeight="false" outlineLevel="0" collapsed="false">
      <c r="B1001" s="1"/>
    </row>
    <row r="1002" customFormat="false" ht="15.75" hidden="false" customHeight="false" outlineLevel="0" collapsed="false">
      <c r="B1002" s="1"/>
    </row>
  </sheetData>
  <dataValidations count="1">
    <dataValidation allowBlank="true" errorStyle="stop" operator="between" showDropDown="false" showErrorMessage="true" showInputMessage="false" sqref="B10" type="list">
      <formula1>Config!$L$2:$L$12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F8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JM24" activeCellId="1" sqref="GI63:GI64 JM2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88"/>
    <col collapsed="false" customWidth="true" hidden="false" outlineLevel="0" max="2" min="2" style="0" width="22"/>
    <col collapsed="false" customWidth="true" hidden="false" outlineLevel="0" max="3" min="3" style="0" width="21.88"/>
    <col collapsed="false" customWidth="true" hidden="false" outlineLevel="0" max="4" min="4" style="0" width="14"/>
    <col collapsed="false" customWidth="true" hidden="true" outlineLevel="0" max="6" min="5" style="0" width="21.88"/>
    <col collapsed="false" customWidth="true" hidden="true" outlineLevel="0" max="7" min="7" style="0" width="41.63"/>
    <col collapsed="false" customWidth="true" hidden="true" outlineLevel="0" max="8" min="8" style="0" width="31.63"/>
    <col collapsed="false" customWidth="true" hidden="true" outlineLevel="0" max="11" min="9" style="0" width="21.88"/>
    <col collapsed="false" customWidth="true" hidden="true" outlineLevel="0" max="12" min="12" style="0" width="5.75"/>
    <col collapsed="false" customWidth="true" hidden="true" outlineLevel="0" max="15" min="13" style="0" width="15.38"/>
    <col collapsed="false" customWidth="true" hidden="true" outlineLevel="0" max="16" min="16" style="0" width="24.13"/>
    <col collapsed="false" customWidth="true" hidden="true" outlineLevel="0" max="18" min="17" style="0" width="15.38"/>
    <col collapsed="false" customWidth="true" hidden="true" outlineLevel="0" max="19" min="19" style="0" width="22.5"/>
    <col collapsed="false" customWidth="true" hidden="true" outlineLevel="0" max="20" min="20" style="0" width="28.25"/>
    <col collapsed="false" customWidth="true" hidden="true" outlineLevel="0" max="21" min="21" style="0" width="15.38"/>
    <col collapsed="false" customWidth="true" hidden="true" outlineLevel="0" max="22" min="22" style="0" width="23.75"/>
    <col collapsed="false" customWidth="true" hidden="true" outlineLevel="0" max="24" min="23" style="0" width="15.38"/>
    <col collapsed="false" customWidth="true" hidden="true" outlineLevel="0" max="25" min="25" style="0" width="18.88"/>
    <col collapsed="false" customWidth="true" hidden="false" outlineLevel="0" max="26" min="26" style="0" width="21.25"/>
    <col collapsed="false" customWidth="true" hidden="false" outlineLevel="0" max="27" min="27" style="0" width="103.63"/>
    <col collapsed="false" customWidth="true" hidden="false" outlineLevel="0" max="28" min="28" style="0" width="50.88"/>
    <col collapsed="false" customWidth="true" hidden="false" outlineLevel="0" max="32" min="29" style="0" width="18.88"/>
  </cols>
  <sheetData>
    <row r="1" customFormat="false" ht="15.75" hidden="false" customHeight="false" outlineLevel="0" collapsed="false">
      <c r="A1" s="9" t="s">
        <v>30</v>
      </c>
      <c r="B1" s="9" t="s">
        <v>31</v>
      </c>
      <c r="C1" s="9" t="s">
        <v>32</v>
      </c>
      <c r="D1" s="9" t="s">
        <v>33</v>
      </c>
      <c r="E1" s="9" t="s">
        <v>34</v>
      </c>
      <c r="F1" s="9" t="s">
        <v>35</v>
      </c>
      <c r="G1" s="9" t="s">
        <v>36</v>
      </c>
      <c r="H1" s="9" t="s">
        <v>37</v>
      </c>
      <c r="I1" s="9" t="s">
        <v>38</v>
      </c>
      <c r="J1" s="9" t="s">
        <v>39</v>
      </c>
      <c r="K1" s="9" t="s">
        <v>40</v>
      </c>
      <c r="L1" s="9" t="s">
        <v>41</v>
      </c>
      <c r="M1" s="9" t="s">
        <v>42</v>
      </c>
      <c r="N1" s="9" t="s">
        <v>43</v>
      </c>
      <c r="O1" s="9" t="s">
        <v>44</v>
      </c>
      <c r="P1" s="9" t="s">
        <v>45</v>
      </c>
      <c r="Q1" s="9" t="s">
        <v>46</v>
      </c>
      <c r="R1" s="9" t="s">
        <v>47</v>
      </c>
      <c r="S1" s="9" t="s">
        <v>48</v>
      </c>
      <c r="T1" s="9" t="s">
        <v>49</v>
      </c>
      <c r="U1" s="9" t="s">
        <v>50</v>
      </c>
      <c r="V1" s="9" t="s">
        <v>51</v>
      </c>
      <c r="W1" s="9" t="s">
        <v>52</v>
      </c>
      <c r="X1" s="9" t="s">
        <v>53</v>
      </c>
      <c r="Y1" s="9" t="s">
        <v>54</v>
      </c>
      <c r="Z1" s="9" t="s">
        <v>55</v>
      </c>
      <c r="AA1" s="9" t="s">
        <v>56</v>
      </c>
      <c r="AB1" s="9" t="s">
        <v>57</v>
      </c>
      <c r="AC1" s="10"/>
      <c r="AD1" s="10"/>
      <c r="AE1" s="10"/>
      <c r="AF1" s="10"/>
    </row>
    <row r="2" customFormat="false" ht="15.75" hidden="false" customHeight="false" outlineLevel="0" collapsed="false">
      <c r="A2" s="11"/>
      <c r="B2" s="10"/>
      <c r="C2" s="10"/>
      <c r="D2" s="10"/>
      <c r="E2" s="10"/>
      <c r="F2" s="12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3"/>
      <c r="AB2" s="13"/>
      <c r="AC2" s="10"/>
      <c r="AD2" s="10"/>
      <c r="AE2" s="10"/>
      <c r="AF2" s="10"/>
    </row>
    <row r="3" customFormat="false" ht="15.75" hidden="false" customHeight="false" outlineLevel="0" collapsed="false">
      <c r="A3" s="11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3"/>
      <c r="AB3" s="13"/>
      <c r="AC3" s="10"/>
      <c r="AD3" s="10"/>
      <c r="AE3" s="10"/>
      <c r="AF3" s="10"/>
    </row>
    <row r="4" customFormat="false" ht="15.75" hidden="false" customHeight="false" outlineLevel="0" collapsed="false">
      <c r="A4" s="11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3"/>
      <c r="AB4" s="13"/>
      <c r="AC4" s="10"/>
      <c r="AD4" s="10"/>
      <c r="AE4" s="10"/>
      <c r="AF4" s="10"/>
    </row>
    <row r="5" customFormat="false" ht="15.75" hidden="false" customHeight="false" outlineLevel="0" collapsed="false">
      <c r="A5" s="11"/>
      <c r="B5" s="10"/>
      <c r="C5" s="10"/>
      <c r="D5" s="10"/>
      <c r="E5" s="10"/>
      <c r="F5" s="12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3"/>
      <c r="AB5" s="13"/>
      <c r="AC5" s="10"/>
      <c r="AD5" s="10"/>
      <c r="AE5" s="10"/>
      <c r="AF5" s="10"/>
    </row>
    <row r="6" customFormat="false" ht="15.75" hidden="false" customHeight="false" outlineLevel="0" collapsed="false">
      <c r="A6" s="11"/>
      <c r="B6" s="10"/>
      <c r="C6" s="10"/>
      <c r="D6" s="10"/>
      <c r="E6" s="10"/>
      <c r="F6" s="12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3"/>
      <c r="AB6" s="13"/>
      <c r="AC6" s="10"/>
      <c r="AD6" s="10"/>
      <c r="AE6" s="10"/>
      <c r="AF6" s="10"/>
    </row>
    <row r="7" customFormat="false" ht="15.75" hidden="false" customHeight="false" outlineLevel="0" collapsed="false">
      <c r="A7" s="11"/>
      <c r="B7" s="10"/>
      <c r="C7" s="10"/>
      <c r="D7" s="10"/>
      <c r="E7" s="10"/>
      <c r="F7" s="12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3"/>
      <c r="AB7" s="13"/>
      <c r="AC7" s="10"/>
      <c r="AD7" s="10"/>
      <c r="AE7" s="10"/>
      <c r="AF7" s="10"/>
    </row>
    <row r="8" customFormat="false" ht="15.75" hidden="false" customHeight="false" outlineLevel="0" collapsed="false">
      <c r="A8" s="11"/>
      <c r="B8" s="10"/>
      <c r="C8" s="10"/>
      <c r="D8" s="10"/>
      <c r="E8" s="10"/>
      <c r="F8" s="12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3"/>
      <c r="AB8" s="13"/>
      <c r="AC8" s="10"/>
      <c r="AD8" s="10"/>
      <c r="AE8" s="10"/>
      <c r="AF8" s="10"/>
    </row>
    <row r="9" customFormat="false" ht="15.75" hidden="false" customHeight="false" outlineLevel="0" collapsed="false">
      <c r="A9" s="11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3"/>
      <c r="AB9" s="13"/>
      <c r="AC9" s="10"/>
      <c r="AD9" s="10"/>
      <c r="AE9" s="10"/>
      <c r="AF9" s="10"/>
    </row>
    <row r="10" customFormat="false" ht="15.75" hidden="false" customHeight="false" outlineLevel="0" collapsed="false">
      <c r="A10" s="11"/>
      <c r="B10" s="10"/>
      <c r="C10" s="10"/>
      <c r="D10" s="10"/>
      <c r="E10" s="10"/>
      <c r="F10" s="12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3"/>
      <c r="AB10" s="13"/>
      <c r="AC10" s="10"/>
      <c r="AD10" s="10"/>
      <c r="AE10" s="10"/>
      <c r="AF10" s="10"/>
    </row>
    <row r="11" customFormat="false" ht="15.75" hidden="false" customHeight="false" outlineLevel="0" collapsed="false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3"/>
      <c r="AB11" s="13"/>
      <c r="AC11" s="10"/>
      <c r="AD11" s="10"/>
      <c r="AE11" s="10"/>
      <c r="AF11" s="10"/>
    </row>
    <row r="12" customFormat="false" ht="15.75" hidden="false" customHeight="false" outlineLevel="0" collapsed="false">
      <c r="A12" s="11"/>
      <c r="B12" s="10"/>
      <c r="C12" s="10"/>
      <c r="D12" s="10"/>
      <c r="E12" s="10"/>
      <c r="F12" s="12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3"/>
      <c r="AB12" s="13"/>
      <c r="AC12" s="10"/>
      <c r="AD12" s="10"/>
      <c r="AE12" s="10"/>
      <c r="AF12" s="10"/>
    </row>
    <row r="13" customFormat="false" ht="15.75" hidden="false" customHeight="false" outlineLevel="0" collapsed="false">
      <c r="A13" s="11"/>
      <c r="B13" s="10"/>
      <c r="C13" s="10"/>
      <c r="D13" s="10"/>
      <c r="E13" s="10"/>
      <c r="F13" s="10"/>
      <c r="G13" s="10"/>
      <c r="H13" s="13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3"/>
      <c r="AB13" s="13"/>
      <c r="AC13" s="10"/>
      <c r="AD13" s="10"/>
      <c r="AE13" s="10"/>
      <c r="AF13" s="10"/>
    </row>
    <row r="14" customFormat="false" ht="15.75" hidden="false" customHeight="false" outlineLevel="0" collapsed="false">
      <c r="A14" s="11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3"/>
      <c r="AB14" s="13"/>
      <c r="AC14" s="10"/>
      <c r="AD14" s="10"/>
      <c r="AE14" s="10"/>
      <c r="AF14" s="10"/>
    </row>
    <row r="15" customFormat="false" ht="15.75" hidden="false" customHeight="false" outlineLevel="0" collapsed="false">
      <c r="A15" s="11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3"/>
      <c r="AB15" s="13"/>
      <c r="AC15" s="10"/>
      <c r="AD15" s="10"/>
      <c r="AE15" s="10"/>
      <c r="AF15" s="10"/>
    </row>
    <row r="16" customFormat="false" ht="15.75" hidden="false" customHeight="false" outlineLevel="0" collapsed="false">
      <c r="A16" s="11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3"/>
      <c r="AB16" s="13"/>
      <c r="AC16" s="10"/>
      <c r="AD16" s="10"/>
      <c r="AE16" s="10"/>
      <c r="AF16" s="10"/>
    </row>
    <row r="17" customFormat="false" ht="15.75" hidden="false" customHeight="false" outlineLevel="0" collapsed="false">
      <c r="A17" s="11"/>
      <c r="B17" s="10"/>
      <c r="C17" s="10"/>
      <c r="D17" s="10"/>
      <c r="E17" s="10"/>
      <c r="F17" s="12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3"/>
      <c r="AB17" s="13"/>
      <c r="AC17" s="10"/>
      <c r="AD17" s="10"/>
      <c r="AE17" s="10"/>
      <c r="AF17" s="10"/>
    </row>
    <row r="18" customFormat="false" ht="15.75" hidden="false" customHeight="false" outlineLevel="0" collapsed="false">
      <c r="A18" s="11"/>
      <c r="B18" s="10"/>
      <c r="C18" s="10"/>
      <c r="D18" s="10"/>
      <c r="E18" s="10"/>
      <c r="F18" s="12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3"/>
      <c r="AB18" s="13"/>
      <c r="AC18" s="10"/>
      <c r="AD18" s="10"/>
      <c r="AE18" s="10"/>
      <c r="AF18" s="10"/>
    </row>
    <row r="19" customFormat="false" ht="15.75" hidden="false" customHeight="false" outlineLevel="0" collapsed="false">
      <c r="A19" s="11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3"/>
      <c r="AB19" s="13"/>
      <c r="AC19" s="10"/>
      <c r="AD19" s="10"/>
      <c r="AE19" s="10"/>
      <c r="AF19" s="10"/>
    </row>
    <row r="20" customFormat="false" ht="15.75" hidden="false" customHeight="false" outlineLevel="0" collapsed="false">
      <c r="A20" s="11"/>
      <c r="B20" s="10"/>
      <c r="C20" s="10"/>
      <c r="D20" s="10"/>
      <c r="E20" s="10"/>
      <c r="F20" s="12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3"/>
      <c r="AB20" s="13"/>
      <c r="AC20" s="10"/>
      <c r="AD20" s="10"/>
      <c r="AE20" s="10"/>
      <c r="AF20" s="10"/>
    </row>
    <row r="21" customFormat="false" ht="15.75" hidden="false" customHeight="false" outlineLevel="0" collapsed="false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3"/>
      <c r="AB21" s="13"/>
      <c r="AC21" s="10"/>
      <c r="AD21" s="10"/>
      <c r="AE21" s="10"/>
      <c r="AF21" s="10"/>
    </row>
    <row r="22" customFormat="false" ht="15.75" hidden="false" customHeight="false" outlineLevel="0" collapsed="false">
      <c r="A22" s="11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3"/>
      <c r="AB22" s="13"/>
      <c r="AC22" s="10"/>
      <c r="AD22" s="10"/>
      <c r="AE22" s="10"/>
      <c r="AF22" s="10"/>
    </row>
    <row r="23" customFormat="false" ht="15.75" hidden="false" customHeight="false" outlineLevel="0" collapsed="false">
      <c r="A23" s="11"/>
      <c r="B23" s="10"/>
      <c r="C23" s="10"/>
      <c r="D23" s="10"/>
      <c r="E23" s="10"/>
      <c r="F23" s="12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3"/>
      <c r="AB23" s="13"/>
      <c r="AC23" s="10"/>
      <c r="AD23" s="10"/>
      <c r="AE23" s="10"/>
      <c r="AF23" s="10"/>
    </row>
    <row r="24" customFormat="false" ht="15.75" hidden="false" customHeight="false" outlineLevel="0" collapsed="false">
      <c r="A24" s="11"/>
      <c r="B24" s="10"/>
      <c r="C24" s="10"/>
      <c r="D24" s="10"/>
      <c r="E24" s="10"/>
      <c r="F24" s="12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3"/>
      <c r="AB24" s="13"/>
      <c r="AC24" s="10"/>
      <c r="AD24" s="10"/>
      <c r="AE24" s="10"/>
      <c r="AF24" s="10"/>
    </row>
    <row r="25" customFormat="false" ht="15.75" hidden="false" customHeight="false" outlineLevel="0" collapsed="false">
      <c r="A25" s="11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3"/>
      <c r="AB25" s="13"/>
      <c r="AC25" s="10"/>
      <c r="AD25" s="10"/>
      <c r="AE25" s="10"/>
      <c r="AF25" s="10"/>
    </row>
    <row r="26" customFormat="false" ht="15.75" hidden="false" customHeight="false" outlineLevel="0" collapsed="false">
      <c r="A26" s="11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3"/>
      <c r="AB26" s="13"/>
      <c r="AC26" s="10"/>
      <c r="AD26" s="10"/>
      <c r="AE26" s="10"/>
      <c r="AF26" s="10"/>
    </row>
    <row r="27" customFormat="false" ht="15.75" hidden="false" customHeight="false" outlineLevel="0" collapsed="false">
      <c r="A27" s="11"/>
      <c r="B27" s="10"/>
      <c r="C27" s="10"/>
      <c r="D27" s="10"/>
      <c r="E27" s="10"/>
      <c r="F27" s="10"/>
      <c r="G27" s="10"/>
      <c r="H27" s="13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3"/>
      <c r="AB27" s="13"/>
      <c r="AC27" s="10"/>
      <c r="AD27" s="10"/>
      <c r="AE27" s="10"/>
      <c r="AF27" s="10"/>
    </row>
    <row r="28" customFormat="false" ht="15.75" hidden="false" customHeight="false" outlineLevel="0" collapsed="false">
      <c r="A28" s="11"/>
      <c r="B28" s="10"/>
      <c r="C28" s="10"/>
      <c r="D28" s="10"/>
      <c r="E28" s="10"/>
      <c r="F28" s="12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3"/>
      <c r="AB28" s="13"/>
      <c r="AC28" s="10"/>
      <c r="AD28" s="10"/>
      <c r="AE28" s="10"/>
      <c r="AF28" s="10"/>
    </row>
    <row r="29" customFormat="false" ht="15.75" hidden="false" customHeight="false" outlineLevel="0" collapsed="false">
      <c r="A29" s="11"/>
      <c r="B29" s="10"/>
      <c r="C29" s="10"/>
      <c r="D29" s="10"/>
      <c r="E29" s="10"/>
      <c r="F29" s="12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3"/>
      <c r="AB29" s="13"/>
      <c r="AC29" s="10"/>
      <c r="AD29" s="10"/>
      <c r="AE29" s="10"/>
      <c r="AF29" s="10"/>
    </row>
    <row r="30" customFormat="false" ht="15.75" hidden="false" customHeight="false" outlineLevel="0" collapsed="false">
      <c r="A30" s="11"/>
      <c r="B30" s="10"/>
      <c r="C30" s="10"/>
      <c r="D30" s="10"/>
      <c r="E30" s="10"/>
      <c r="F30" s="12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3"/>
      <c r="AB30" s="13"/>
      <c r="AC30" s="10"/>
      <c r="AD30" s="10"/>
      <c r="AE30" s="10"/>
      <c r="AF30" s="10"/>
    </row>
    <row r="31" customFormat="false" ht="15.75" hidden="false" customHeight="false" outlineLevel="0" collapsed="false">
      <c r="A31" s="11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3"/>
      <c r="AB31" s="13"/>
      <c r="AC31" s="10"/>
      <c r="AD31" s="10"/>
      <c r="AE31" s="10"/>
      <c r="AF31" s="10"/>
    </row>
    <row r="32" customFormat="false" ht="15.75" hidden="false" customHeight="false" outlineLevel="0" collapsed="false">
      <c r="A32" s="11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3"/>
      <c r="AB32" s="13"/>
      <c r="AC32" s="10"/>
      <c r="AD32" s="10"/>
      <c r="AE32" s="10"/>
      <c r="AF32" s="10"/>
    </row>
    <row r="33" customFormat="false" ht="15.75" hidden="false" customHeight="false" outlineLevel="0" collapsed="false">
      <c r="A33" s="11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3"/>
      <c r="AB33" s="13"/>
      <c r="AC33" s="10"/>
      <c r="AD33" s="10"/>
      <c r="AE33" s="10"/>
      <c r="AF33" s="10"/>
    </row>
    <row r="34" customFormat="false" ht="15.75" hidden="false" customHeight="false" outlineLevel="0" collapsed="false">
      <c r="A34" s="11"/>
      <c r="B34" s="10"/>
      <c r="C34" s="10"/>
      <c r="D34" s="10"/>
      <c r="E34" s="10"/>
      <c r="F34" s="12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3"/>
      <c r="AB34" s="13"/>
      <c r="AC34" s="10"/>
      <c r="AD34" s="10"/>
      <c r="AE34" s="10"/>
      <c r="AF34" s="10"/>
    </row>
    <row r="35" customFormat="false" ht="15.75" hidden="false" customHeight="false" outlineLevel="0" collapsed="false">
      <c r="A35" s="11"/>
      <c r="B35" s="10"/>
      <c r="C35" s="10"/>
      <c r="D35" s="10"/>
      <c r="E35" s="10"/>
      <c r="F35" s="12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3"/>
      <c r="AB35" s="13"/>
      <c r="AC35" s="10"/>
      <c r="AD35" s="10"/>
      <c r="AE35" s="10"/>
      <c r="AF35" s="10"/>
    </row>
    <row r="36" customFormat="false" ht="15.75" hidden="false" customHeight="false" outlineLevel="0" collapsed="false">
      <c r="A36" s="11"/>
      <c r="B36" s="10"/>
      <c r="C36" s="10"/>
      <c r="D36" s="10"/>
      <c r="E36" s="10"/>
      <c r="F36" s="12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3"/>
      <c r="AB36" s="13"/>
      <c r="AC36" s="10"/>
      <c r="AD36" s="10"/>
      <c r="AE36" s="10"/>
      <c r="AF36" s="10"/>
    </row>
    <row r="37" customFormat="false" ht="15.75" hidden="false" customHeight="false" outlineLevel="0" collapsed="false">
      <c r="A37" s="11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3"/>
      <c r="AB37" s="13"/>
      <c r="AC37" s="10"/>
      <c r="AD37" s="10"/>
      <c r="AE37" s="10"/>
      <c r="AF37" s="10"/>
    </row>
    <row r="38" customFormat="false" ht="15.75" hidden="false" customHeight="false" outlineLevel="0" collapsed="false">
      <c r="A38" s="11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3"/>
      <c r="AB38" s="13"/>
      <c r="AC38" s="10"/>
      <c r="AD38" s="10"/>
      <c r="AE38" s="10"/>
      <c r="AF38" s="10"/>
    </row>
    <row r="39" customFormat="false" ht="15.75" hidden="false" customHeight="false" outlineLevel="0" collapsed="false">
      <c r="A39" s="11"/>
      <c r="B39" s="10"/>
      <c r="C39" s="10"/>
      <c r="D39" s="10"/>
      <c r="E39" s="10"/>
      <c r="F39" s="12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3"/>
      <c r="AB39" s="13"/>
      <c r="AC39" s="10"/>
      <c r="AD39" s="10"/>
      <c r="AE39" s="10"/>
      <c r="AF39" s="10"/>
    </row>
    <row r="40" customFormat="false" ht="15.75" hidden="false" customHeight="false" outlineLevel="0" collapsed="false">
      <c r="A40" s="11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3"/>
      <c r="AB40" s="13"/>
      <c r="AC40" s="10"/>
      <c r="AD40" s="10"/>
      <c r="AE40" s="10"/>
      <c r="AF40" s="10"/>
    </row>
    <row r="41" customFormat="false" ht="15.75" hidden="false" customHeight="false" outlineLevel="0" collapsed="false">
      <c r="A41" s="11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3"/>
      <c r="AB41" s="13"/>
      <c r="AC41" s="10"/>
      <c r="AD41" s="10"/>
      <c r="AE41" s="10"/>
      <c r="AF41" s="10"/>
    </row>
    <row r="42" customFormat="false" ht="15.75" hidden="false" customHeight="false" outlineLevel="0" collapsed="false">
      <c r="A42" s="11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3"/>
      <c r="AB42" s="13"/>
      <c r="AC42" s="10"/>
      <c r="AD42" s="10"/>
      <c r="AE42" s="10"/>
      <c r="AF42" s="10"/>
    </row>
    <row r="43" customFormat="false" ht="15.75" hidden="false" customHeight="false" outlineLevel="0" collapsed="false">
      <c r="A43" s="11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3"/>
      <c r="AB43" s="13"/>
      <c r="AC43" s="10"/>
      <c r="AD43" s="10"/>
      <c r="AE43" s="10"/>
      <c r="AF43" s="10"/>
    </row>
    <row r="44" customFormat="false" ht="15.75" hidden="false" customHeight="false" outlineLevel="0" collapsed="false">
      <c r="A44" s="11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3"/>
      <c r="AB44" s="13"/>
      <c r="AC44" s="10"/>
      <c r="AD44" s="10"/>
      <c r="AE44" s="10"/>
      <c r="AF44" s="10"/>
    </row>
    <row r="45" customFormat="false" ht="15.75" hidden="false" customHeight="false" outlineLevel="0" collapsed="false">
      <c r="A45" s="11"/>
      <c r="B45" s="10"/>
      <c r="C45" s="10"/>
      <c r="D45" s="10"/>
      <c r="E45" s="10"/>
      <c r="F45" s="12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3"/>
      <c r="AB45" s="13"/>
      <c r="AC45" s="10"/>
      <c r="AD45" s="10"/>
      <c r="AE45" s="10"/>
      <c r="AF45" s="10"/>
    </row>
    <row r="46" customFormat="false" ht="15.75" hidden="false" customHeight="false" outlineLevel="0" collapsed="false">
      <c r="A46" s="11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3"/>
      <c r="AB46" s="13"/>
      <c r="AC46" s="10"/>
      <c r="AD46" s="10"/>
      <c r="AE46" s="10"/>
      <c r="AF46" s="10"/>
    </row>
    <row r="47" customFormat="false" ht="15.75" hidden="false" customHeight="false" outlineLevel="0" collapsed="false">
      <c r="A47" s="11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3"/>
      <c r="AB47" s="13"/>
      <c r="AC47" s="10"/>
      <c r="AD47" s="10"/>
      <c r="AE47" s="10"/>
      <c r="AF47" s="10"/>
    </row>
    <row r="48" customFormat="false" ht="15.75" hidden="false" customHeight="false" outlineLevel="0" collapsed="false">
      <c r="A48" s="11"/>
      <c r="B48" s="10"/>
      <c r="C48" s="10"/>
      <c r="D48" s="10"/>
      <c r="E48" s="10"/>
      <c r="F48" s="10"/>
      <c r="G48" s="10"/>
      <c r="H48" s="13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3"/>
      <c r="AB48" s="13"/>
      <c r="AC48" s="10"/>
      <c r="AD48" s="10"/>
      <c r="AE48" s="10"/>
      <c r="AF48" s="10"/>
    </row>
    <row r="49" customFormat="false" ht="15.75" hidden="false" customHeight="false" outlineLevel="0" collapsed="false">
      <c r="A49" s="11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3"/>
      <c r="AB49" s="13"/>
      <c r="AC49" s="10"/>
      <c r="AD49" s="10"/>
      <c r="AE49" s="10"/>
      <c r="AF49" s="10"/>
    </row>
    <row r="50" customFormat="false" ht="15.75" hidden="false" customHeight="false" outlineLevel="0" collapsed="false">
      <c r="A50" s="11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3"/>
      <c r="AB50" s="13"/>
      <c r="AC50" s="10"/>
      <c r="AD50" s="10"/>
      <c r="AE50" s="10"/>
      <c r="AF50" s="10"/>
    </row>
    <row r="51" customFormat="false" ht="15.75" hidden="false" customHeight="false" outlineLevel="0" collapsed="false">
      <c r="A51" s="11"/>
      <c r="B51" s="10"/>
      <c r="C51" s="10"/>
      <c r="D51" s="10"/>
      <c r="E51" s="10"/>
      <c r="F51" s="12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3"/>
      <c r="AB51" s="13"/>
      <c r="AC51" s="10"/>
      <c r="AD51" s="10"/>
      <c r="AE51" s="10"/>
      <c r="AF51" s="10"/>
    </row>
    <row r="52" customFormat="false" ht="15.75" hidden="false" customHeight="false" outlineLevel="0" collapsed="false">
      <c r="A52" s="14"/>
      <c r="B52" s="1"/>
      <c r="C52" s="1"/>
      <c r="D52" s="1"/>
      <c r="E52" s="1"/>
      <c r="F52" s="1"/>
      <c r="G52" s="3"/>
      <c r="H52" s="3"/>
      <c r="I52" s="3"/>
      <c r="J52" s="3"/>
      <c r="K52" s="3"/>
      <c r="L52" s="3"/>
      <c r="M52" s="3"/>
      <c r="N52" s="3"/>
      <c r="O52" s="3"/>
      <c r="P52" s="3"/>
      <c r="V52" s="3"/>
      <c r="W52" s="3"/>
      <c r="X52" s="3"/>
      <c r="Y52" s="3"/>
      <c r="Z52" s="3"/>
      <c r="AA52" s="15"/>
      <c r="AB52" s="15"/>
      <c r="AC52" s="10"/>
      <c r="AD52" s="10"/>
      <c r="AE52" s="10"/>
      <c r="AF52" s="10"/>
    </row>
    <row r="53" customFormat="false" ht="15.75" hidden="false" customHeight="false" outlineLevel="0" collapsed="false">
      <c r="A53" s="11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3"/>
      <c r="AB53" s="13"/>
      <c r="AC53" s="10"/>
      <c r="AD53" s="10"/>
      <c r="AE53" s="10"/>
      <c r="AF53" s="10"/>
    </row>
    <row r="54" customFormat="false" ht="15.75" hidden="false" customHeight="false" outlineLevel="0" collapsed="false">
      <c r="A54" s="11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3"/>
      <c r="AB54" s="13"/>
      <c r="AC54" s="10"/>
      <c r="AD54" s="10"/>
      <c r="AE54" s="10"/>
      <c r="AF54" s="10"/>
    </row>
    <row r="55" customFormat="false" ht="15.75" hidden="false" customHeight="false" outlineLevel="0" collapsed="false">
      <c r="A55" s="11"/>
      <c r="B55" s="10"/>
      <c r="C55" s="10"/>
      <c r="D55" s="10"/>
      <c r="E55" s="10"/>
      <c r="F55" s="12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3"/>
      <c r="AB55" s="13"/>
      <c r="AC55" s="10"/>
      <c r="AD55" s="10"/>
      <c r="AE55" s="10"/>
      <c r="AF55" s="10"/>
    </row>
    <row r="56" customFormat="false" ht="15.75" hidden="false" customHeight="false" outlineLevel="0" collapsed="false">
      <c r="A56" s="11"/>
      <c r="B56" s="10"/>
      <c r="C56" s="10"/>
      <c r="D56" s="10"/>
      <c r="E56" s="10"/>
      <c r="F56" s="12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3"/>
      <c r="AB56" s="13"/>
      <c r="AC56" s="10"/>
      <c r="AD56" s="10"/>
      <c r="AE56" s="10"/>
      <c r="AF56" s="10"/>
    </row>
    <row r="57" customFormat="false" ht="15.75" hidden="false" customHeight="false" outlineLevel="0" collapsed="false">
      <c r="A57" s="11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3"/>
      <c r="AB57" s="13"/>
      <c r="AC57" s="10"/>
      <c r="AD57" s="10"/>
      <c r="AE57" s="10"/>
      <c r="AF57" s="10"/>
    </row>
    <row r="58" customFormat="false" ht="15.75" hidden="false" customHeight="false" outlineLevel="0" collapsed="false">
      <c r="A58" s="11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3"/>
      <c r="AB58" s="13"/>
      <c r="AC58" s="10"/>
      <c r="AD58" s="10"/>
      <c r="AE58" s="10"/>
      <c r="AF58" s="10"/>
    </row>
    <row r="59" customFormat="false" ht="15.75" hidden="false" customHeight="false" outlineLevel="0" collapsed="false">
      <c r="A59" s="11"/>
      <c r="B59" s="10"/>
      <c r="C59" s="10"/>
      <c r="D59" s="10"/>
      <c r="E59" s="10"/>
      <c r="F59" s="12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3"/>
      <c r="AB59" s="13"/>
      <c r="AC59" s="10"/>
      <c r="AD59" s="10"/>
      <c r="AE59" s="10"/>
      <c r="AF59" s="10"/>
    </row>
    <row r="60" customFormat="false" ht="15.75" hidden="false" customHeight="false" outlineLevel="0" collapsed="false">
      <c r="A60" s="11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3"/>
      <c r="AB60" s="13"/>
      <c r="AC60" s="10"/>
      <c r="AD60" s="10"/>
      <c r="AE60" s="10"/>
      <c r="AF60" s="10"/>
    </row>
    <row r="61" customFormat="false" ht="15.75" hidden="false" customHeight="false" outlineLevel="0" collapsed="false">
      <c r="A61" s="11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3"/>
      <c r="AB61" s="13"/>
      <c r="AC61" s="10"/>
      <c r="AD61" s="10"/>
      <c r="AE61" s="10"/>
      <c r="AF61" s="10"/>
    </row>
    <row r="62" customFormat="false" ht="15.75" hidden="false" customHeight="false" outlineLevel="0" collapsed="false">
      <c r="A62" s="11"/>
      <c r="B62" s="10"/>
      <c r="C62" s="10"/>
      <c r="D62" s="10"/>
      <c r="E62" s="10"/>
      <c r="F62" s="12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3"/>
      <c r="AB62" s="13"/>
      <c r="AC62" s="10"/>
      <c r="AD62" s="10"/>
      <c r="AE62" s="10"/>
      <c r="AF62" s="10"/>
    </row>
    <row r="63" customFormat="false" ht="15.75" hidden="false" customHeight="false" outlineLevel="0" collapsed="false">
      <c r="A63" s="11"/>
      <c r="B63" s="10"/>
      <c r="C63" s="10"/>
      <c r="D63" s="10"/>
      <c r="E63" s="10"/>
      <c r="F63" s="12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3"/>
      <c r="AB63" s="13"/>
      <c r="AC63" s="10"/>
      <c r="AD63" s="10"/>
      <c r="AE63" s="10"/>
      <c r="AF63" s="10"/>
    </row>
    <row r="64" customFormat="false" ht="15.75" hidden="false" customHeight="false" outlineLevel="0" collapsed="false">
      <c r="A64" s="11"/>
      <c r="B64" s="10"/>
      <c r="C64" s="10"/>
      <c r="D64" s="10"/>
      <c r="E64" s="10"/>
      <c r="F64" s="10"/>
      <c r="G64" s="10"/>
      <c r="H64" s="13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3"/>
      <c r="AB64" s="13"/>
      <c r="AC64" s="10"/>
      <c r="AD64" s="10"/>
      <c r="AE64" s="10"/>
      <c r="AF64" s="10"/>
    </row>
    <row r="65" customFormat="false" ht="15.75" hidden="false" customHeight="false" outlineLevel="0" collapsed="false">
      <c r="A65" s="11"/>
      <c r="B65" s="10"/>
      <c r="C65" s="10"/>
      <c r="D65" s="10"/>
      <c r="E65" s="10"/>
      <c r="F65" s="12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3"/>
      <c r="AB65" s="13"/>
      <c r="AC65" s="10"/>
      <c r="AD65" s="10"/>
      <c r="AE65" s="10"/>
      <c r="AF65" s="10"/>
    </row>
    <row r="66" customFormat="false" ht="15.75" hidden="false" customHeight="false" outlineLevel="0" collapsed="false">
      <c r="A66" s="11"/>
      <c r="B66" s="10"/>
      <c r="C66" s="10"/>
      <c r="D66" s="10"/>
      <c r="E66" s="10"/>
      <c r="F66" s="12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3"/>
      <c r="AB66" s="13"/>
      <c r="AC66" s="10"/>
      <c r="AD66" s="10"/>
      <c r="AE66" s="10"/>
      <c r="AF66" s="10"/>
    </row>
    <row r="67" customFormat="false" ht="15.75" hidden="false" customHeight="false" outlineLevel="0" collapsed="false">
      <c r="A67" s="11"/>
      <c r="B67" s="10"/>
      <c r="C67" s="10"/>
      <c r="D67" s="10"/>
      <c r="E67" s="10"/>
      <c r="F67" s="10"/>
      <c r="G67" s="10"/>
      <c r="H67" s="13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3"/>
      <c r="AB67" s="13"/>
      <c r="AC67" s="10"/>
      <c r="AD67" s="10"/>
      <c r="AE67" s="10"/>
      <c r="AF67" s="10"/>
    </row>
    <row r="68" customFormat="false" ht="15.75" hidden="false" customHeight="false" outlineLevel="0" collapsed="false">
      <c r="A68" s="11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3"/>
      <c r="AB68" s="13"/>
      <c r="AC68" s="10"/>
      <c r="AD68" s="10"/>
      <c r="AE68" s="10"/>
      <c r="AF68" s="10"/>
    </row>
    <row r="69" customFormat="false" ht="15.75" hidden="false" customHeight="false" outlineLevel="0" collapsed="false">
      <c r="A69" s="11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3"/>
      <c r="AB69" s="13"/>
      <c r="AC69" s="10"/>
      <c r="AD69" s="10"/>
      <c r="AE69" s="10"/>
      <c r="AF69" s="10"/>
    </row>
    <row r="70" customFormat="false" ht="15.75" hidden="false" customHeight="false" outlineLevel="0" collapsed="false">
      <c r="A70" s="11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3"/>
      <c r="AB70" s="13"/>
      <c r="AC70" s="10"/>
      <c r="AD70" s="10"/>
      <c r="AE70" s="10"/>
      <c r="AF70" s="10"/>
    </row>
    <row r="71" customFormat="false" ht="15.75" hidden="false" customHeight="false" outlineLevel="0" collapsed="false">
      <c r="A71" s="11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3"/>
      <c r="AB71" s="13"/>
      <c r="AC71" s="10"/>
      <c r="AD71" s="10"/>
      <c r="AE71" s="10"/>
      <c r="AF71" s="10"/>
    </row>
    <row r="72" customFormat="false" ht="15.75" hidden="false" customHeight="false" outlineLevel="0" collapsed="false">
      <c r="A72" s="11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3"/>
      <c r="AB72" s="13"/>
      <c r="AC72" s="10"/>
      <c r="AD72" s="10"/>
      <c r="AE72" s="10"/>
      <c r="AF72" s="10"/>
    </row>
    <row r="73" customFormat="false" ht="15.75" hidden="false" customHeight="false" outlineLevel="0" collapsed="false">
      <c r="A73" s="11"/>
      <c r="B73" s="10"/>
      <c r="C73" s="10"/>
      <c r="D73" s="10"/>
      <c r="E73" s="10"/>
      <c r="F73" s="12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3"/>
      <c r="AB73" s="13"/>
      <c r="AC73" s="10"/>
      <c r="AD73" s="10"/>
      <c r="AE73" s="10"/>
      <c r="AF73" s="10"/>
    </row>
    <row r="74" customFormat="false" ht="15.75" hidden="false" customHeight="false" outlineLevel="0" collapsed="false">
      <c r="A74" s="11"/>
      <c r="B74" s="10"/>
      <c r="C74" s="10"/>
      <c r="D74" s="10"/>
      <c r="E74" s="10"/>
      <c r="F74" s="12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3"/>
      <c r="AB74" s="13"/>
      <c r="AC74" s="10"/>
      <c r="AD74" s="10"/>
      <c r="AE74" s="10"/>
      <c r="AF74" s="10"/>
    </row>
    <row r="75" customFormat="false" ht="15.75" hidden="false" customHeight="false" outlineLevel="0" collapsed="false">
      <c r="A75" s="11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3"/>
      <c r="AB75" s="13"/>
      <c r="AC75" s="10"/>
      <c r="AD75" s="10"/>
      <c r="AE75" s="10"/>
      <c r="AF75" s="10"/>
    </row>
    <row r="76" customFormat="false" ht="15.75" hidden="false" customHeight="false" outlineLevel="0" collapsed="false">
      <c r="A76" s="11"/>
      <c r="B76" s="10"/>
      <c r="C76" s="10"/>
      <c r="D76" s="10"/>
      <c r="E76" s="10"/>
      <c r="F76" s="12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3"/>
      <c r="AB76" s="13"/>
      <c r="AC76" s="10"/>
      <c r="AD76" s="10"/>
      <c r="AE76" s="10"/>
      <c r="AF76" s="10"/>
    </row>
    <row r="77" customFormat="false" ht="15.75" hidden="false" customHeight="false" outlineLevel="0" collapsed="false">
      <c r="A77" s="11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3"/>
      <c r="AB77" s="13"/>
      <c r="AC77" s="10"/>
      <c r="AD77" s="10"/>
      <c r="AE77" s="10"/>
      <c r="AF77" s="10"/>
    </row>
    <row r="78" customFormat="false" ht="15.75" hidden="false" customHeight="false" outlineLevel="0" collapsed="false">
      <c r="A78" s="11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3"/>
      <c r="AB78" s="13"/>
      <c r="AC78" s="10"/>
      <c r="AD78" s="10"/>
      <c r="AE78" s="10"/>
      <c r="AF78" s="10"/>
    </row>
    <row r="79" customFormat="false" ht="15.75" hidden="false" customHeight="false" outlineLevel="0" collapsed="false">
      <c r="A79" s="11"/>
      <c r="B79" s="10"/>
      <c r="C79" s="10"/>
      <c r="D79" s="10"/>
      <c r="E79" s="10"/>
      <c r="F79" s="12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3"/>
      <c r="AB79" s="13"/>
      <c r="AC79" s="10"/>
      <c r="AD79" s="10"/>
      <c r="AE79" s="10"/>
      <c r="AF79" s="10"/>
    </row>
    <row r="80" customFormat="false" ht="15.75" hidden="false" customHeight="false" outlineLevel="0" collapsed="false">
      <c r="A80" s="11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3"/>
      <c r="AB80" s="13"/>
      <c r="AC80" s="10"/>
      <c r="AD80" s="10"/>
      <c r="AE80" s="10"/>
      <c r="AF80" s="10"/>
    </row>
    <row r="81" customFormat="false" ht="15.75" hidden="false" customHeight="false" outlineLevel="0" collapsed="false">
      <c r="A81" s="11"/>
      <c r="B81" s="10"/>
      <c r="C81" s="10"/>
      <c r="D81" s="10"/>
      <c r="E81" s="10"/>
      <c r="F81" s="12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3"/>
      <c r="AB81" s="13"/>
      <c r="AC81" s="10"/>
      <c r="AD81" s="10"/>
      <c r="AE81" s="10"/>
      <c r="AF81" s="10"/>
    </row>
    <row r="82" customFormat="false" ht="15.75" hidden="false" customHeight="false" outlineLevel="0" collapsed="false">
      <c r="A82" s="11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3"/>
      <c r="AB82" s="13"/>
      <c r="AC82" s="10"/>
      <c r="AD82" s="10"/>
      <c r="AE82" s="10"/>
      <c r="AF82" s="10"/>
    </row>
    <row r="83" customFormat="false" ht="15.75" hidden="false" customHeight="false" outlineLevel="0" collapsed="false">
      <c r="A83" s="11"/>
      <c r="B83" s="10"/>
      <c r="C83" s="10"/>
      <c r="D83" s="10"/>
      <c r="E83" s="10"/>
      <c r="F83" s="12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3"/>
      <c r="AB83" s="13"/>
      <c r="AC83" s="10"/>
      <c r="AD83" s="10"/>
      <c r="AE83" s="10"/>
      <c r="AF83" s="10"/>
    </row>
    <row r="84" customFormat="false" ht="15.75" hidden="false" customHeight="false" outlineLevel="0" collapsed="false">
      <c r="A84" s="11"/>
      <c r="B84" s="10"/>
      <c r="C84" s="10"/>
      <c r="D84" s="10"/>
      <c r="E84" s="10"/>
      <c r="F84" s="12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3"/>
      <c r="AB84" s="13"/>
      <c r="AC84" s="10"/>
      <c r="AD84" s="10"/>
      <c r="AE84" s="10"/>
      <c r="AF84" s="10"/>
    </row>
    <row r="85" customFormat="false" ht="15.75" hidden="false" customHeight="false" outlineLevel="0" collapsed="false">
      <c r="A85" s="11"/>
      <c r="B85" s="10"/>
      <c r="C85" s="10"/>
      <c r="D85" s="10"/>
      <c r="E85" s="10"/>
      <c r="F85" s="12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3"/>
      <c r="AB85" s="13"/>
      <c r="AC85" s="10"/>
      <c r="AD85" s="10"/>
      <c r="AE85" s="10"/>
      <c r="AF85" s="10"/>
    </row>
    <row r="86" customFormat="false" ht="15.75" hidden="false" customHeight="false" outlineLevel="0" collapsed="false">
      <c r="A86" s="11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3"/>
      <c r="AB86" s="13"/>
      <c r="AC86" s="10"/>
      <c r="AD86" s="10"/>
      <c r="AE86" s="10"/>
      <c r="AF86" s="10"/>
    </row>
    <row r="87" customFormat="false" ht="15.75" hidden="false" customHeight="false" outlineLevel="0" collapsed="false">
      <c r="A87" s="11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3"/>
      <c r="AB87" s="13"/>
      <c r="AC87" s="10"/>
      <c r="AD87" s="10"/>
      <c r="AE87" s="10"/>
      <c r="AF87" s="10"/>
    </row>
    <row r="88" customFormat="false" ht="15.75" hidden="false" customHeight="false" outlineLevel="0" collapsed="false">
      <c r="A88" s="11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3"/>
      <c r="AB88" s="13"/>
      <c r="AC88" s="10"/>
      <c r="AD88" s="10"/>
      <c r="AE88" s="10"/>
      <c r="AF88" s="10"/>
    </row>
    <row r="89" customFormat="false" ht="15.75" hidden="false" customHeight="false" outlineLevel="0" collapsed="false">
      <c r="A89" s="11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3"/>
      <c r="AB89" s="13"/>
      <c r="AC89" s="10"/>
      <c r="AD89" s="10"/>
      <c r="AE89" s="10"/>
      <c r="AF89" s="10"/>
    </row>
    <row r="90" customFormat="false" ht="15.75" hidden="false" customHeight="false" outlineLevel="0" collapsed="false">
      <c r="A90" s="11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3"/>
      <c r="AB90" s="13"/>
      <c r="AC90" s="10"/>
      <c r="AD90" s="10"/>
      <c r="AE90" s="10"/>
      <c r="AF90" s="10"/>
    </row>
    <row r="91" customFormat="false" ht="15.75" hidden="false" customHeight="false" outlineLevel="0" collapsed="false">
      <c r="A91" s="11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3"/>
      <c r="AB91" s="13"/>
      <c r="AC91" s="10"/>
      <c r="AD91" s="10"/>
      <c r="AE91" s="10"/>
      <c r="AF91" s="10"/>
    </row>
    <row r="92" customFormat="false" ht="15.75" hidden="false" customHeight="false" outlineLevel="0" collapsed="false">
      <c r="A92" s="11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3"/>
      <c r="AB92" s="13"/>
      <c r="AC92" s="10"/>
      <c r="AD92" s="10"/>
      <c r="AE92" s="10"/>
      <c r="AF92" s="10"/>
    </row>
    <row r="93" customFormat="false" ht="15.75" hidden="false" customHeight="false" outlineLevel="0" collapsed="false">
      <c r="A93" s="11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3"/>
      <c r="AB93" s="13"/>
      <c r="AC93" s="10"/>
      <c r="AD93" s="10"/>
      <c r="AE93" s="10"/>
      <c r="AF93" s="10"/>
    </row>
    <row r="94" customFormat="false" ht="15.75" hidden="false" customHeight="false" outlineLevel="0" collapsed="false">
      <c r="A94" s="11"/>
      <c r="B94" s="10"/>
      <c r="C94" s="10"/>
      <c r="D94" s="10"/>
      <c r="E94" s="10"/>
      <c r="F94" s="16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3"/>
      <c r="AB94" s="13"/>
      <c r="AC94" s="10"/>
      <c r="AD94" s="10"/>
      <c r="AE94" s="10"/>
      <c r="AF94" s="10"/>
    </row>
    <row r="95" customFormat="false" ht="15.75" hidden="false" customHeight="false" outlineLevel="0" collapsed="false">
      <c r="A95" s="11"/>
      <c r="B95" s="10"/>
      <c r="C95" s="10"/>
      <c r="D95" s="10"/>
      <c r="E95" s="10"/>
      <c r="F95" s="12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3"/>
      <c r="AB95" s="13"/>
      <c r="AC95" s="10"/>
      <c r="AD95" s="10"/>
      <c r="AE95" s="10"/>
      <c r="AF95" s="10"/>
    </row>
    <row r="96" customFormat="false" ht="15.75" hidden="false" customHeight="false" outlineLevel="0" collapsed="false">
      <c r="A96" s="11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3"/>
      <c r="AB96" s="13"/>
      <c r="AC96" s="10"/>
      <c r="AD96" s="10"/>
      <c r="AE96" s="10"/>
      <c r="AF96" s="10"/>
    </row>
    <row r="97" customFormat="false" ht="15.75" hidden="false" customHeight="false" outlineLevel="0" collapsed="false">
      <c r="A97" s="11"/>
      <c r="B97" s="10"/>
      <c r="C97" s="10"/>
      <c r="D97" s="10"/>
      <c r="E97" s="10"/>
      <c r="F97" s="12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3"/>
      <c r="AB97" s="13"/>
      <c r="AC97" s="10"/>
      <c r="AD97" s="10"/>
      <c r="AE97" s="10"/>
      <c r="AF97" s="10"/>
    </row>
    <row r="98" customFormat="false" ht="15.75" hidden="false" customHeight="false" outlineLevel="0" collapsed="false">
      <c r="A98" s="11"/>
      <c r="B98" s="10"/>
      <c r="C98" s="10"/>
      <c r="D98" s="10"/>
      <c r="E98" s="10"/>
      <c r="F98" s="12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3"/>
      <c r="AB98" s="13"/>
      <c r="AC98" s="10"/>
      <c r="AD98" s="10"/>
      <c r="AE98" s="10"/>
      <c r="AF98" s="10"/>
    </row>
    <row r="99" customFormat="false" ht="15.75" hidden="false" customHeight="false" outlineLevel="0" collapsed="false">
      <c r="A99" s="11"/>
      <c r="B99" s="10"/>
      <c r="C99" s="10"/>
      <c r="D99" s="10"/>
      <c r="E99" s="10"/>
      <c r="F99" s="12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3"/>
      <c r="AB99" s="13"/>
      <c r="AC99" s="10"/>
      <c r="AD99" s="10"/>
      <c r="AE99" s="10"/>
      <c r="AF99" s="10"/>
    </row>
    <row r="100" customFormat="false" ht="15.75" hidden="false" customHeight="false" outlineLevel="0" collapsed="false">
      <c r="A100" s="11"/>
      <c r="B100" s="10"/>
      <c r="C100" s="10"/>
      <c r="D100" s="10"/>
      <c r="E100" s="10"/>
      <c r="F100" s="12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3"/>
      <c r="AB100" s="13"/>
      <c r="AC100" s="10"/>
      <c r="AD100" s="10"/>
      <c r="AE100" s="10"/>
      <c r="AF100" s="10"/>
    </row>
    <row r="101" customFormat="false" ht="15.75" hidden="false" customHeight="false" outlineLevel="0" collapsed="false">
      <c r="A101" s="11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3"/>
      <c r="AB101" s="13"/>
      <c r="AC101" s="10"/>
      <c r="AD101" s="10"/>
      <c r="AE101" s="10"/>
      <c r="AF101" s="10"/>
    </row>
    <row r="102" customFormat="false" ht="15.75" hidden="false" customHeight="false" outlineLevel="0" collapsed="false">
      <c r="A102" s="11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3"/>
      <c r="AB102" s="13"/>
      <c r="AC102" s="10"/>
      <c r="AD102" s="10"/>
      <c r="AE102" s="10"/>
      <c r="AF102" s="10"/>
    </row>
    <row r="103" customFormat="false" ht="15.75" hidden="false" customHeight="false" outlineLevel="0" collapsed="false">
      <c r="A103" s="11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3"/>
      <c r="AB103" s="13"/>
      <c r="AC103" s="10"/>
      <c r="AD103" s="10"/>
      <c r="AE103" s="10"/>
      <c r="AF103" s="10"/>
    </row>
    <row r="104" customFormat="false" ht="15.75" hidden="false" customHeight="false" outlineLevel="0" collapsed="false">
      <c r="A104" s="11"/>
      <c r="B104" s="10"/>
      <c r="C104" s="10"/>
      <c r="D104" s="10"/>
      <c r="E104" s="10"/>
      <c r="F104" s="12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3"/>
      <c r="AB104" s="13"/>
      <c r="AC104" s="10"/>
      <c r="AD104" s="10"/>
      <c r="AE104" s="10"/>
      <c r="AF104" s="10"/>
    </row>
    <row r="105" customFormat="false" ht="15.75" hidden="false" customHeight="false" outlineLevel="0" collapsed="false">
      <c r="A105" s="11"/>
      <c r="B105" s="10"/>
      <c r="C105" s="10"/>
      <c r="D105" s="10"/>
      <c r="E105" s="10"/>
      <c r="F105" s="12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3"/>
      <c r="AB105" s="13"/>
      <c r="AC105" s="10"/>
      <c r="AD105" s="10"/>
      <c r="AE105" s="10"/>
      <c r="AF105" s="10"/>
    </row>
    <row r="106" customFormat="false" ht="15.75" hidden="false" customHeight="false" outlineLevel="0" collapsed="false">
      <c r="A106" s="11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3"/>
      <c r="AB106" s="13"/>
      <c r="AC106" s="10"/>
      <c r="AD106" s="10"/>
      <c r="AE106" s="10"/>
      <c r="AF106" s="10"/>
    </row>
    <row r="107" customFormat="false" ht="15.75" hidden="false" customHeight="false" outlineLevel="0" collapsed="false">
      <c r="A107" s="11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3"/>
      <c r="AB107" s="13"/>
      <c r="AC107" s="10"/>
      <c r="AD107" s="10"/>
      <c r="AE107" s="10"/>
      <c r="AF107" s="10"/>
    </row>
    <row r="108" customFormat="false" ht="15.75" hidden="false" customHeight="false" outlineLevel="0" collapsed="false">
      <c r="A108" s="11"/>
      <c r="B108" s="10"/>
      <c r="C108" s="10"/>
      <c r="D108" s="10"/>
      <c r="E108" s="10"/>
      <c r="F108" s="12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3"/>
      <c r="AB108" s="13"/>
      <c r="AC108" s="10"/>
      <c r="AD108" s="10"/>
      <c r="AE108" s="10"/>
      <c r="AF108" s="10"/>
    </row>
    <row r="109" customFormat="false" ht="15.75" hidden="false" customHeight="false" outlineLevel="0" collapsed="false">
      <c r="A109" s="11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3"/>
      <c r="AB109" s="13"/>
      <c r="AC109" s="10"/>
      <c r="AD109" s="10"/>
      <c r="AE109" s="10"/>
      <c r="AF109" s="10"/>
    </row>
    <row r="110" customFormat="false" ht="15.75" hidden="false" customHeight="false" outlineLevel="0" collapsed="false">
      <c r="A110" s="11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3"/>
      <c r="AB110" s="13"/>
      <c r="AC110" s="10"/>
      <c r="AD110" s="10"/>
      <c r="AE110" s="10"/>
      <c r="AF110" s="10"/>
    </row>
    <row r="111" customFormat="false" ht="15.75" hidden="false" customHeight="false" outlineLevel="0" collapsed="false">
      <c r="A111" s="11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3"/>
      <c r="AB111" s="13"/>
      <c r="AC111" s="10"/>
      <c r="AD111" s="10"/>
      <c r="AE111" s="10"/>
      <c r="AF111" s="10"/>
    </row>
    <row r="112" customFormat="false" ht="15.75" hidden="false" customHeight="false" outlineLevel="0" collapsed="false">
      <c r="A112" s="11"/>
      <c r="B112" s="10"/>
      <c r="C112" s="10"/>
      <c r="D112" s="10"/>
      <c r="E112" s="10"/>
      <c r="F112" s="12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3"/>
      <c r="AB112" s="13"/>
      <c r="AC112" s="10"/>
      <c r="AD112" s="10"/>
      <c r="AE112" s="10"/>
      <c r="AF112" s="10"/>
    </row>
    <row r="113" customFormat="false" ht="20.25" hidden="false" customHeight="true" outlineLevel="0" collapsed="false">
      <c r="A113" s="11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3"/>
      <c r="AB113" s="13"/>
      <c r="AC113" s="10"/>
      <c r="AD113" s="10"/>
      <c r="AE113" s="10"/>
      <c r="AF113" s="10"/>
    </row>
    <row r="114" customFormat="false" ht="15.75" hidden="false" customHeight="false" outlineLevel="0" collapsed="false">
      <c r="A114" s="11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3"/>
      <c r="AB114" s="13"/>
      <c r="AC114" s="10"/>
      <c r="AD114" s="10"/>
      <c r="AE114" s="10"/>
      <c r="AF114" s="10"/>
    </row>
    <row r="115" customFormat="false" ht="15.75" hidden="false" customHeight="false" outlineLevel="0" collapsed="false">
      <c r="A115" s="11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3"/>
      <c r="AB115" s="13"/>
      <c r="AC115" s="10"/>
      <c r="AD115" s="10"/>
      <c r="AE115" s="10"/>
      <c r="AF115" s="10"/>
    </row>
    <row r="116" customFormat="false" ht="15.75" hidden="false" customHeight="false" outlineLevel="0" collapsed="false">
      <c r="A116" s="11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3"/>
      <c r="AB116" s="13"/>
      <c r="AC116" s="10"/>
      <c r="AD116" s="10"/>
      <c r="AE116" s="10"/>
      <c r="AF116" s="10"/>
    </row>
    <row r="117" customFormat="false" ht="15.75" hidden="false" customHeight="false" outlineLevel="0" collapsed="false">
      <c r="A117" s="11"/>
      <c r="B117" s="10"/>
      <c r="C117" s="10"/>
      <c r="D117" s="10"/>
      <c r="E117" s="10"/>
      <c r="F117" s="16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3"/>
      <c r="AB117" s="13"/>
      <c r="AC117" s="10"/>
      <c r="AD117" s="10"/>
      <c r="AE117" s="10"/>
      <c r="AF117" s="10"/>
    </row>
    <row r="118" customFormat="false" ht="15.75" hidden="false" customHeight="false" outlineLevel="0" collapsed="false">
      <c r="A118" s="11"/>
      <c r="B118" s="10"/>
      <c r="C118" s="10"/>
      <c r="D118" s="10"/>
      <c r="E118" s="10"/>
      <c r="F118" s="12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3"/>
      <c r="AB118" s="13"/>
      <c r="AC118" s="10"/>
      <c r="AD118" s="10"/>
      <c r="AE118" s="10"/>
      <c r="AF118" s="10"/>
    </row>
    <row r="119" customFormat="false" ht="15.75" hidden="false" customHeight="false" outlineLevel="0" collapsed="false">
      <c r="A119" s="11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3"/>
      <c r="AB119" s="13"/>
      <c r="AC119" s="10"/>
      <c r="AD119" s="10"/>
      <c r="AE119" s="10"/>
      <c r="AF119" s="10"/>
    </row>
    <row r="120" customFormat="false" ht="15.75" hidden="false" customHeight="false" outlineLevel="0" collapsed="false">
      <c r="A120" s="11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3"/>
      <c r="AB120" s="13"/>
      <c r="AC120" s="10"/>
      <c r="AD120" s="10"/>
      <c r="AE120" s="10"/>
      <c r="AF120" s="10"/>
    </row>
    <row r="121" customFormat="false" ht="15.75" hidden="false" customHeight="false" outlineLevel="0" collapsed="false">
      <c r="A121" s="11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3"/>
      <c r="AB121" s="13"/>
      <c r="AC121" s="10"/>
      <c r="AD121" s="10"/>
      <c r="AE121" s="10"/>
      <c r="AF121" s="10"/>
    </row>
    <row r="122" customFormat="false" ht="15.75" hidden="false" customHeight="false" outlineLevel="0" collapsed="false">
      <c r="A122" s="11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3"/>
      <c r="AB122" s="13"/>
      <c r="AC122" s="10"/>
      <c r="AD122" s="10"/>
      <c r="AE122" s="10"/>
      <c r="AF122" s="10"/>
    </row>
    <row r="123" customFormat="false" ht="15.75" hidden="false" customHeight="false" outlineLevel="0" collapsed="false">
      <c r="A123" s="11"/>
      <c r="B123" s="10"/>
      <c r="C123" s="10"/>
      <c r="D123" s="10"/>
      <c r="E123" s="10"/>
      <c r="F123" s="12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3"/>
      <c r="AB123" s="13"/>
      <c r="AC123" s="10"/>
      <c r="AD123" s="10"/>
      <c r="AE123" s="10"/>
      <c r="AF123" s="10"/>
    </row>
    <row r="124" customFormat="false" ht="15.75" hidden="false" customHeight="false" outlineLevel="0" collapsed="false">
      <c r="A124" s="11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3"/>
      <c r="AB124" s="13"/>
      <c r="AC124" s="10"/>
      <c r="AD124" s="10"/>
      <c r="AE124" s="10"/>
      <c r="AF124" s="10"/>
    </row>
    <row r="125" customFormat="false" ht="15.75" hidden="false" customHeight="false" outlineLevel="0" collapsed="false">
      <c r="A125" s="11"/>
      <c r="B125" s="10"/>
      <c r="C125" s="10"/>
      <c r="D125" s="10"/>
      <c r="E125" s="10"/>
      <c r="F125" s="12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3"/>
      <c r="AB125" s="13"/>
      <c r="AC125" s="10"/>
      <c r="AD125" s="10"/>
      <c r="AE125" s="10"/>
      <c r="AF125" s="10"/>
    </row>
    <row r="126" customFormat="false" ht="15.75" hidden="false" customHeight="false" outlineLevel="0" collapsed="false">
      <c r="A126" s="11"/>
      <c r="B126" s="10"/>
      <c r="C126" s="10"/>
      <c r="D126" s="10"/>
      <c r="E126" s="10"/>
      <c r="F126" s="12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3"/>
      <c r="AB126" s="13"/>
      <c r="AC126" s="10"/>
      <c r="AD126" s="10"/>
      <c r="AE126" s="10"/>
      <c r="AF126" s="10"/>
    </row>
    <row r="127" customFormat="false" ht="15.75" hidden="false" customHeight="false" outlineLevel="0" collapsed="false">
      <c r="A127" s="11"/>
      <c r="B127" s="10"/>
      <c r="C127" s="10"/>
      <c r="D127" s="10"/>
      <c r="E127" s="10"/>
      <c r="F127" s="12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3"/>
      <c r="AB127" s="13"/>
      <c r="AC127" s="10"/>
      <c r="AD127" s="10"/>
      <c r="AE127" s="10"/>
      <c r="AF127" s="10"/>
    </row>
    <row r="128" customFormat="false" ht="15.75" hidden="false" customHeight="false" outlineLevel="0" collapsed="false">
      <c r="A128" s="11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3"/>
      <c r="AB128" s="13"/>
      <c r="AC128" s="10"/>
      <c r="AD128" s="10"/>
      <c r="AE128" s="10"/>
      <c r="AF128" s="10"/>
    </row>
    <row r="129" customFormat="false" ht="15.75" hidden="false" customHeight="false" outlineLevel="0" collapsed="false">
      <c r="A129" s="11"/>
      <c r="B129" s="10"/>
      <c r="C129" s="10"/>
      <c r="D129" s="10"/>
      <c r="E129" s="10"/>
      <c r="F129" s="12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3"/>
      <c r="AB129" s="13"/>
      <c r="AC129" s="10"/>
      <c r="AD129" s="10"/>
      <c r="AE129" s="10"/>
      <c r="AF129" s="10"/>
    </row>
    <row r="130" customFormat="false" ht="15.75" hidden="false" customHeight="false" outlineLevel="0" collapsed="false">
      <c r="A130" s="11"/>
      <c r="B130" s="10"/>
      <c r="C130" s="10"/>
      <c r="D130" s="10"/>
      <c r="E130" s="10"/>
      <c r="F130" s="12"/>
      <c r="G130" s="10"/>
      <c r="H130" s="13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3"/>
      <c r="AB130" s="13"/>
      <c r="AC130" s="10"/>
      <c r="AD130" s="10"/>
      <c r="AE130" s="10"/>
      <c r="AF130" s="10"/>
    </row>
    <row r="131" customFormat="false" ht="15.75" hidden="false" customHeight="false" outlineLevel="0" collapsed="false">
      <c r="A131" s="11"/>
      <c r="B131" s="10"/>
      <c r="C131" s="10"/>
      <c r="D131" s="10"/>
      <c r="E131" s="10"/>
      <c r="F131" s="12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3"/>
      <c r="AB131" s="13"/>
      <c r="AC131" s="10"/>
      <c r="AD131" s="10"/>
      <c r="AE131" s="10"/>
      <c r="AF131" s="10"/>
    </row>
    <row r="132" customFormat="false" ht="15.75" hidden="false" customHeight="false" outlineLevel="0" collapsed="false">
      <c r="A132" s="11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3"/>
      <c r="AB132" s="13"/>
      <c r="AC132" s="10"/>
      <c r="AD132" s="10"/>
      <c r="AE132" s="10"/>
      <c r="AF132" s="10"/>
    </row>
    <row r="133" customFormat="false" ht="15.75" hidden="false" customHeight="false" outlineLevel="0" collapsed="false">
      <c r="A133" s="11"/>
      <c r="B133" s="10"/>
      <c r="C133" s="10"/>
      <c r="D133" s="10"/>
      <c r="E133" s="10"/>
      <c r="F133" s="12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3"/>
      <c r="AB133" s="13"/>
      <c r="AC133" s="10"/>
      <c r="AD133" s="10"/>
      <c r="AE133" s="10"/>
      <c r="AF133" s="10"/>
    </row>
    <row r="134" customFormat="false" ht="15.75" hidden="false" customHeight="false" outlineLevel="0" collapsed="false">
      <c r="A134" s="11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3"/>
      <c r="AB134" s="13"/>
      <c r="AC134" s="10"/>
      <c r="AD134" s="10"/>
      <c r="AE134" s="10"/>
      <c r="AF134" s="10"/>
    </row>
    <row r="135" customFormat="false" ht="15.75" hidden="false" customHeight="false" outlineLevel="0" collapsed="false">
      <c r="A135" s="11"/>
      <c r="B135" s="10"/>
      <c r="C135" s="10"/>
      <c r="D135" s="10"/>
      <c r="E135" s="10"/>
      <c r="F135" s="12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3"/>
      <c r="AB135" s="13"/>
      <c r="AC135" s="10"/>
      <c r="AD135" s="10"/>
      <c r="AE135" s="10"/>
      <c r="AF135" s="10"/>
    </row>
    <row r="136" customFormat="false" ht="15.75" hidden="false" customHeight="false" outlineLevel="0" collapsed="false">
      <c r="A136" s="11"/>
      <c r="B136" s="10"/>
      <c r="C136" s="10"/>
      <c r="D136" s="10"/>
      <c r="E136" s="10"/>
      <c r="F136" s="12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3"/>
      <c r="AB136" s="13"/>
      <c r="AC136" s="10"/>
      <c r="AD136" s="10"/>
      <c r="AE136" s="10"/>
      <c r="AF136" s="10"/>
    </row>
    <row r="137" customFormat="false" ht="15.75" hidden="false" customHeight="false" outlineLevel="0" collapsed="false">
      <c r="A137" s="11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3"/>
      <c r="AB137" s="13"/>
      <c r="AC137" s="10"/>
      <c r="AD137" s="10"/>
      <c r="AE137" s="10"/>
      <c r="AF137" s="10"/>
    </row>
    <row r="138" customFormat="false" ht="15.75" hidden="false" customHeight="false" outlineLevel="0" collapsed="false">
      <c r="A138" s="11"/>
      <c r="B138" s="10"/>
      <c r="C138" s="10"/>
      <c r="D138" s="10"/>
      <c r="E138" s="10"/>
      <c r="F138" s="12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3"/>
      <c r="AB138" s="13"/>
      <c r="AC138" s="10"/>
      <c r="AD138" s="10"/>
      <c r="AE138" s="10"/>
      <c r="AF138" s="10"/>
    </row>
    <row r="139" customFormat="false" ht="15.75" hidden="false" customHeight="false" outlineLevel="0" collapsed="false">
      <c r="A139" s="11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3"/>
      <c r="AB139" s="13"/>
      <c r="AC139" s="10"/>
      <c r="AD139" s="10"/>
      <c r="AE139" s="10"/>
      <c r="AF139" s="10"/>
    </row>
    <row r="140" customFormat="false" ht="15.75" hidden="false" customHeight="false" outlineLevel="0" collapsed="false">
      <c r="A140" s="11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3"/>
      <c r="AB140" s="13"/>
      <c r="AC140" s="10"/>
      <c r="AD140" s="10"/>
      <c r="AE140" s="10"/>
      <c r="AF140" s="10"/>
    </row>
    <row r="141" customFormat="false" ht="15.75" hidden="false" customHeight="false" outlineLevel="0" collapsed="false">
      <c r="A141" s="11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3"/>
      <c r="AB141" s="13"/>
      <c r="AC141" s="10"/>
      <c r="AD141" s="10"/>
      <c r="AE141" s="10"/>
      <c r="AF141" s="10"/>
    </row>
    <row r="142" customFormat="false" ht="15.75" hidden="false" customHeight="false" outlineLevel="0" collapsed="false">
      <c r="A142" s="11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3"/>
      <c r="AB142" s="13"/>
      <c r="AC142" s="10"/>
      <c r="AD142" s="10"/>
      <c r="AE142" s="10"/>
      <c r="AF142" s="10"/>
    </row>
    <row r="143" customFormat="false" ht="15.75" hidden="false" customHeight="false" outlineLevel="0" collapsed="false">
      <c r="A143" s="11"/>
      <c r="B143" s="10"/>
      <c r="C143" s="10"/>
      <c r="D143" s="10"/>
      <c r="E143" s="10"/>
      <c r="F143" s="12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3"/>
      <c r="AB143" s="13"/>
      <c r="AC143" s="10"/>
      <c r="AD143" s="10"/>
      <c r="AE143" s="10"/>
      <c r="AF143" s="10"/>
    </row>
    <row r="144" customFormat="false" ht="15.75" hidden="false" customHeight="false" outlineLevel="0" collapsed="false">
      <c r="A144" s="11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3"/>
      <c r="AB144" s="13"/>
      <c r="AC144" s="10"/>
      <c r="AD144" s="10"/>
      <c r="AE144" s="10"/>
      <c r="AF144" s="10"/>
    </row>
    <row r="145" customFormat="false" ht="15.75" hidden="false" customHeight="false" outlineLevel="0" collapsed="false">
      <c r="A145" s="11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3"/>
      <c r="AB145" s="13"/>
      <c r="AC145" s="10"/>
      <c r="AD145" s="10"/>
      <c r="AE145" s="10"/>
      <c r="AF145" s="10"/>
    </row>
    <row r="146" customFormat="false" ht="15.75" hidden="false" customHeight="false" outlineLevel="0" collapsed="false">
      <c r="A146" s="11"/>
      <c r="B146" s="10"/>
      <c r="C146" s="10"/>
      <c r="D146" s="10"/>
      <c r="E146" s="10"/>
      <c r="F146" s="12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3"/>
      <c r="AB146" s="13"/>
      <c r="AC146" s="10"/>
      <c r="AD146" s="10"/>
      <c r="AE146" s="10"/>
      <c r="AF146" s="10"/>
    </row>
    <row r="147" customFormat="false" ht="15.75" hidden="false" customHeight="false" outlineLevel="0" collapsed="false">
      <c r="A147" s="11"/>
      <c r="B147" s="10"/>
      <c r="C147" s="10"/>
      <c r="D147" s="10"/>
      <c r="E147" s="10"/>
      <c r="F147" s="12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3"/>
      <c r="AB147" s="13"/>
      <c r="AC147" s="10"/>
      <c r="AD147" s="10"/>
      <c r="AE147" s="10"/>
      <c r="AF147" s="10"/>
    </row>
    <row r="148" customFormat="false" ht="15.75" hidden="false" customHeight="false" outlineLevel="0" collapsed="false">
      <c r="A148" s="11"/>
      <c r="B148" s="10"/>
      <c r="C148" s="10"/>
      <c r="D148" s="10"/>
      <c r="E148" s="10"/>
      <c r="F148" s="12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3"/>
      <c r="AB148" s="13"/>
      <c r="AC148" s="10"/>
      <c r="AD148" s="10"/>
      <c r="AE148" s="10"/>
      <c r="AF148" s="10"/>
    </row>
    <row r="149" customFormat="false" ht="15.75" hidden="false" customHeight="false" outlineLevel="0" collapsed="false">
      <c r="A149" s="11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3"/>
      <c r="AB149" s="13"/>
      <c r="AC149" s="10"/>
      <c r="AD149" s="10"/>
      <c r="AE149" s="10"/>
      <c r="AF149" s="10"/>
    </row>
    <row r="150" customFormat="false" ht="15.75" hidden="false" customHeight="false" outlineLevel="0" collapsed="false">
      <c r="A150" s="11"/>
      <c r="B150" s="10"/>
      <c r="C150" s="10"/>
      <c r="D150" s="10"/>
      <c r="E150" s="10"/>
      <c r="F150" s="12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3"/>
      <c r="AB150" s="13"/>
      <c r="AC150" s="10"/>
      <c r="AD150" s="10"/>
      <c r="AE150" s="10"/>
      <c r="AF150" s="10"/>
    </row>
    <row r="151" customFormat="false" ht="15.75" hidden="false" customHeight="false" outlineLevel="0" collapsed="false">
      <c r="A151" s="11"/>
      <c r="B151" s="10"/>
      <c r="C151" s="10"/>
      <c r="D151" s="10"/>
      <c r="E151" s="10"/>
      <c r="F151" s="12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3"/>
      <c r="AB151" s="13"/>
      <c r="AC151" s="10"/>
      <c r="AD151" s="10"/>
      <c r="AE151" s="10"/>
      <c r="AF151" s="10"/>
    </row>
    <row r="152" customFormat="false" ht="15.75" hidden="false" customHeight="false" outlineLevel="0" collapsed="false">
      <c r="A152" s="11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3"/>
      <c r="AB152" s="13"/>
      <c r="AC152" s="10"/>
      <c r="AD152" s="10"/>
      <c r="AE152" s="10"/>
      <c r="AF152" s="10"/>
    </row>
    <row r="153" customFormat="false" ht="15.75" hidden="false" customHeight="false" outlineLevel="0" collapsed="false">
      <c r="A153" s="11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3"/>
      <c r="AB153" s="13"/>
      <c r="AC153" s="10"/>
      <c r="AD153" s="10"/>
      <c r="AE153" s="10"/>
      <c r="AF153" s="10"/>
    </row>
    <row r="154" customFormat="false" ht="15.75" hidden="false" customHeight="false" outlineLevel="0" collapsed="false">
      <c r="A154" s="11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3"/>
      <c r="AB154" s="13"/>
      <c r="AC154" s="10"/>
      <c r="AD154" s="10"/>
      <c r="AE154" s="10"/>
      <c r="AF154" s="10"/>
    </row>
    <row r="155" customFormat="false" ht="15.75" hidden="false" customHeight="false" outlineLevel="0" collapsed="false">
      <c r="A155" s="11"/>
      <c r="B155" s="10"/>
      <c r="C155" s="10"/>
      <c r="D155" s="10"/>
      <c r="E155" s="10"/>
      <c r="F155" s="12"/>
      <c r="G155" s="10"/>
      <c r="H155" s="13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3"/>
      <c r="AB155" s="13"/>
      <c r="AC155" s="10"/>
      <c r="AD155" s="10"/>
      <c r="AE155" s="10"/>
      <c r="AF155" s="10"/>
    </row>
    <row r="156" customFormat="false" ht="15.75" hidden="false" customHeight="false" outlineLevel="0" collapsed="false">
      <c r="A156" s="11"/>
      <c r="B156" s="10"/>
      <c r="C156" s="10"/>
      <c r="D156" s="10"/>
      <c r="E156" s="10"/>
      <c r="F156" s="12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3"/>
      <c r="AB156" s="13"/>
      <c r="AC156" s="10"/>
      <c r="AD156" s="10"/>
      <c r="AE156" s="10"/>
      <c r="AF156" s="10"/>
    </row>
    <row r="157" customFormat="false" ht="15.75" hidden="false" customHeight="false" outlineLevel="0" collapsed="false">
      <c r="A157" s="11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3"/>
      <c r="AB157" s="13"/>
      <c r="AC157" s="10"/>
      <c r="AD157" s="10"/>
      <c r="AE157" s="10"/>
      <c r="AF157" s="10"/>
    </row>
    <row r="158" customFormat="false" ht="15.75" hidden="false" customHeight="false" outlineLevel="0" collapsed="false">
      <c r="A158" s="11"/>
      <c r="B158" s="10"/>
      <c r="C158" s="10"/>
      <c r="D158" s="10"/>
      <c r="E158" s="10"/>
      <c r="F158" s="12"/>
      <c r="G158" s="10"/>
      <c r="H158" s="13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3"/>
      <c r="AB158" s="13"/>
      <c r="AC158" s="10"/>
      <c r="AD158" s="10"/>
      <c r="AE158" s="10"/>
      <c r="AF158" s="10"/>
    </row>
    <row r="159" customFormat="false" ht="15.75" hidden="false" customHeight="false" outlineLevel="0" collapsed="false">
      <c r="A159" s="11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3"/>
      <c r="AB159" s="13"/>
      <c r="AC159" s="10"/>
      <c r="AD159" s="10"/>
      <c r="AE159" s="10"/>
      <c r="AF159" s="10"/>
    </row>
    <row r="160" customFormat="false" ht="15.75" hidden="false" customHeight="false" outlineLevel="0" collapsed="false">
      <c r="A160" s="11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3"/>
      <c r="AB160" s="13"/>
      <c r="AC160" s="10"/>
      <c r="AD160" s="10"/>
      <c r="AE160" s="10"/>
      <c r="AF160" s="10"/>
    </row>
    <row r="161" customFormat="false" ht="15.75" hidden="false" customHeight="false" outlineLevel="0" collapsed="false">
      <c r="A161" s="11"/>
      <c r="B161" s="10"/>
      <c r="C161" s="10"/>
      <c r="D161" s="10"/>
      <c r="E161" s="10"/>
      <c r="F161" s="12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3"/>
      <c r="AB161" s="13"/>
      <c r="AC161" s="10"/>
      <c r="AD161" s="10"/>
      <c r="AE161" s="10"/>
      <c r="AF161" s="10"/>
    </row>
    <row r="162" customFormat="false" ht="15.75" hidden="false" customHeight="false" outlineLevel="0" collapsed="false">
      <c r="A162" s="11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3"/>
      <c r="AB162" s="13"/>
      <c r="AC162" s="10"/>
      <c r="AD162" s="10"/>
      <c r="AE162" s="10"/>
      <c r="AF162" s="10"/>
    </row>
    <row r="163" customFormat="false" ht="15.75" hidden="false" customHeight="false" outlineLevel="0" collapsed="false">
      <c r="A163" s="11"/>
      <c r="B163" s="10"/>
      <c r="C163" s="10"/>
      <c r="D163" s="10"/>
      <c r="E163" s="10"/>
      <c r="F163" s="12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3"/>
      <c r="AB163" s="13"/>
      <c r="AC163" s="10"/>
      <c r="AD163" s="10"/>
      <c r="AE163" s="10"/>
      <c r="AF163" s="10"/>
    </row>
    <row r="164" customFormat="false" ht="15.75" hidden="false" customHeight="false" outlineLevel="0" collapsed="false">
      <c r="A164" s="11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3"/>
      <c r="AB164" s="13"/>
      <c r="AC164" s="10"/>
      <c r="AD164" s="10"/>
      <c r="AE164" s="10"/>
      <c r="AF164" s="10"/>
    </row>
    <row r="165" customFormat="false" ht="15.75" hidden="false" customHeight="false" outlineLevel="0" collapsed="false">
      <c r="A165" s="11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3"/>
      <c r="AB165" s="13"/>
      <c r="AC165" s="10"/>
      <c r="AD165" s="10"/>
      <c r="AE165" s="10"/>
      <c r="AF165" s="10"/>
    </row>
    <row r="166" customFormat="false" ht="15.75" hidden="false" customHeight="false" outlineLevel="0" collapsed="false">
      <c r="A166" s="11"/>
      <c r="B166" s="10"/>
      <c r="C166" s="10"/>
      <c r="D166" s="10"/>
      <c r="E166" s="10"/>
      <c r="F166" s="12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3"/>
      <c r="AB166" s="13"/>
      <c r="AC166" s="10"/>
      <c r="AD166" s="10"/>
      <c r="AE166" s="10"/>
      <c r="AF166" s="10"/>
    </row>
    <row r="167" customFormat="false" ht="15.75" hidden="false" customHeight="false" outlineLevel="0" collapsed="false">
      <c r="A167" s="11"/>
      <c r="B167" s="10"/>
      <c r="C167" s="10"/>
      <c r="D167" s="10"/>
      <c r="E167" s="10"/>
      <c r="F167" s="12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3"/>
      <c r="AB167" s="13"/>
      <c r="AC167" s="10"/>
      <c r="AD167" s="10"/>
      <c r="AE167" s="10"/>
      <c r="AF167" s="10"/>
    </row>
    <row r="168" customFormat="false" ht="15.75" hidden="false" customHeight="false" outlineLevel="0" collapsed="false">
      <c r="A168" s="11"/>
      <c r="B168" s="10"/>
      <c r="C168" s="10"/>
      <c r="D168" s="10"/>
      <c r="E168" s="10"/>
      <c r="F168" s="12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3"/>
      <c r="AB168" s="13"/>
      <c r="AC168" s="10"/>
      <c r="AD168" s="10"/>
      <c r="AE168" s="10"/>
      <c r="AF168" s="10"/>
    </row>
    <row r="169" customFormat="false" ht="15.75" hidden="false" customHeight="false" outlineLevel="0" collapsed="false">
      <c r="A169" s="11"/>
      <c r="B169" s="10"/>
      <c r="C169" s="10"/>
      <c r="D169" s="10"/>
      <c r="E169" s="10"/>
      <c r="F169" s="12"/>
      <c r="G169" s="10"/>
      <c r="H169" s="13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3"/>
      <c r="AB169" s="13"/>
      <c r="AC169" s="10"/>
      <c r="AD169" s="10"/>
      <c r="AE169" s="10"/>
      <c r="AF169" s="10"/>
    </row>
    <row r="170" customFormat="false" ht="15.75" hidden="false" customHeight="false" outlineLevel="0" collapsed="false">
      <c r="A170" s="11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3"/>
      <c r="AB170" s="13"/>
      <c r="AC170" s="10"/>
      <c r="AD170" s="10"/>
      <c r="AE170" s="10"/>
      <c r="AF170" s="10"/>
    </row>
    <row r="171" customFormat="false" ht="15.75" hidden="false" customHeight="false" outlineLevel="0" collapsed="false">
      <c r="A171" s="11"/>
      <c r="B171" s="10"/>
      <c r="C171" s="10"/>
      <c r="D171" s="10"/>
      <c r="E171" s="10"/>
      <c r="F171" s="12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3"/>
      <c r="AB171" s="13"/>
      <c r="AC171" s="10"/>
      <c r="AD171" s="10"/>
      <c r="AE171" s="10"/>
      <c r="AF171" s="10"/>
    </row>
    <row r="172" customFormat="false" ht="15.75" hidden="false" customHeight="false" outlineLevel="0" collapsed="false">
      <c r="A172" s="11"/>
      <c r="B172" s="10"/>
      <c r="C172" s="10"/>
      <c r="D172" s="10"/>
      <c r="E172" s="10"/>
      <c r="F172" s="12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3"/>
      <c r="AB172" s="13"/>
      <c r="AC172" s="10"/>
      <c r="AD172" s="10"/>
      <c r="AE172" s="10"/>
      <c r="AF172" s="10"/>
    </row>
    <row r="173" customFormat="false" ht="15.75" hidden="false" customHeight="false" outlineLevel="0" collapsed="false">
      <c r="A173" s="11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3"/>
      <c r="AB173" s="13"/>
      <c r="AC173" s="10"/>
      <c r="AD173" s="10"/>
      <c r="AE173" s="10"/>
      <c r="AF173" s="10"/>
    </row>
    <row r="174" customFormat="false" ht="15.75" hidden="false" customHeight="false" outlineLevel="0" collapsed="false">
      <c r="A174" s="11"/>
      <c r="B174" s="10"/>
      <c r="C174" s="10"/>
      <c r="D174" s="10"/>
      <c r="E174" s="10"/>
      <c r="F174" s="12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3"/>
      <c r="AB174" s="13"/>
      <c r="AC174" s="10"/>
      <c r="AD174" s="10"/>
      <c r="AE174" s="10"/>
      <c r="AF174" s="10"/>
    </row>
    <row r="175" customFormat="false" ht="15.75" hidden="false" customHeight="false" outlineLevel="0" collapsed="false">
      <c r="A175" s="11"/>
      <c r="B175" s="10"/>
      <c r="C175" s="10"/>
      <c r="D175" s="10"/>
      <c r="E175" s="10"/>
      <c r="F175" s="12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3"/>
      <c r="AB175" s="13"/>
      <c r="AC175" s="10"/>
      <c r="AD175" s="10"/>
      <c r="AE175" s="10"/>
      <c r="AF175" s="10"/>
    </row>
    <row r="176" customFormat="false" ht="15.75" hidden="false" customHeight="false" outlineLevel="0" collapsed="false">
      <c r="A176" s="11"/>
      <c r="B176" s="10"/>
      <c r="C176" s="10"/>
      <c r="D176" s="10"/>
      <c r="E176" s="10"/>
      <c r="F176" s="12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3"/>
      <c r="AB176" s="13"/>
      <c r="AC176" s="10"/>
      <c r="AD176" s="10"/>
      <c r="AE176" s="10"/>
      <c r="AF176" s="10"/>
    </row>
    <row r="177" customFormat="false" ht="15.75" hidden="false" customHeight="false" outlineLevel="0" collapsed="false">
      <c r="A177" s="11"/>
      <c r="B177" s="10"/>
      <c r="C177" s="10"/>
      <c r="D177" s="10"/>
      <c r="E177" s="10"/>
      <c r="F177" s="12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3"/>
      <c r="AB177" s="13"/>
      <c r="AC177" s="10"/>
      <c r="AD177" s="10"/>
      <c r="AE177" s="10"/>
      <c r="AF177" s="10"/>
    </row>
    <row r="178" customFormat="false" ht="15.75" hidden="false" customHeight="false" outlineLevel="0" collapsed="false">
      <c r="A178" s="11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3"/>
      <c r="AB178" s="13"/>
      <c r="AC178" s="10"/>
      <c r="AD178" s="10"/>
      <c r="AE178" s="10"/>
      <c r="AF178" s="10"/>
    </row>
    <row r="179" customFormat="false" ht="15.75" hidden="false" customHeight="false" outlineLevel="0" collapsed="false">
      <c r="A179" s="11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3"/>
      <c r="AB179" s="13"/>
      <c r="AC179" s="10"/>
      <c r="AD179" s="10"/>
      <c r="AE179" s="10"/>
      <c r="AF179" s="10"/>
    </row>
    <row r="180" customFormat="false" ht="15.75" hidden="false" customHeight="false" outlineLevel="0" collapsed="false">
      <c r="A180" s="11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3"/>
      <c r="AB180" s="13"/>
      <c r="AC180" s="10"/>
      <c r="AD180" s="10"/>
      <c r="AE180" s="10"/>
      <c r="AF180" s="10"/>
    </row>
    <row r="181" customFormat="false" ht="15.75" hidden="false" customHeight="false" outlineLevel="0" collapsed="false">
      <c r="A181" s="11"/>
      <c r="B181" s="10"/>
      <c r="C181" s="10"/>
      <c r="D181" s="10"/>
      <c r="E181" s="10"/>
      <c r="F181" s="12"/>
      <c r="G181" s="10"/>
      <c r="H181" s="13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3"/>
      <c r="AB181" s="13"/>
      <c r="AC181" s="10"/>
      <c r="AD181" s="10"/>
      <c r="AE181" s="10"/>
      <c r="AF181" s="10"/>
    </row>
    <row r="182" customFormat="false" ht="15.75" hidden="false" customHeight="false" outlineLevel="0" collapsed="false">
      <c r="A182" s="11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3"/>
      <c r="AB182" s="13"/>
      <c r="AC182" s="10"/>
      <c r="AD182" s="10"/>
      <c r="AE182" s="10"/>
      <c r="AF182" s="10"/>
    </row>
    <row r="183" customFormat="false" ht="15.75" hidden="false" customHeight="false" outlineLevel="0" collapsed="false">
      <c r="A183" s="11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3"/>
      <c r="AB183" s="13"/>
      <c r="AC183" s="10"/>
      <c r="AD183" s="10"/>
      <c r="AE183" s="10"/>
      <c r="AF183" s="10"/>
    </row>
    <row r="184" customFormat="false" ht="15.75" hidden="false" customHeight="false" outlineLevel="0" collapsed="false">
      <c r="A184" s="11"/>
      <c r="B184" s="10"/>
      <c r="C184" s="10"/>
      <c r="D184" s="10"/>
      <c r="E184" s="10"/>
      <c r="F184" s="12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3"/>
      <c r="AB184" s="13"/>
      <c r="AC184" s="10"/>
      <c r="AD184" s="10"/>
      <c r="AE184" s="10"/>
      <c r="AF184" s="10"/>
    </row>
    <row r="185" customFormat="false" ht="15.75" hidden="false" customHeight="false" outlineLevel="0" collapsed="false">
      <c r="A185" s="11"/>
      <c r="B185" s="10"/>
      <c r="C185" s="10"/>
      <c r="D185" s="10"/>
      <c r="E185" s="10"/>
      <c r="F185" s="12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3"/>
      <c r="AB185" s="13"/>
      <c r="AC185" s="10"/>
      <c r="AD185" s="10"/>
      <c r="AE185" s="10"/>
      <c r="AF185" s="10"/>
    </row>
    <row r="186" customFormat="false" ht="15.75" hidden="false" customHeight="false" outlineLevel="0" collapsed="false">
      <c r="A186" s="11"/>
      <c r="B186" s="10"/>
      <c r="C186" s="10"/>
      <c r="D186" s="10"/>
      <c r="E186" s="10"/>
      <c r="F186" s="12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3"/>
      <c r="AB186" s="13"/>
      <c r="AC186" s="10"/>
      <c r="AD186" s="10"/>
      <c r="AE186" s="10"/>
      <c r="AF186" s="10"/>
    </row>
    <row r="187" customFormat="false" ht="15.75" hidden="false" customHeight="false" outlineLevel="0" collapsed="false">
      <c r="A187" s="11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3"/>
      <c r="AB187" s="13"/>
      <c r="AC187" s="10"/>
      <c r="AD187" s="10"/>
      <c r="AE187" s="10"/>
      <c r="AF187" s="10"/>
    </row>
    <row r="188" customFormat="false" ht="15.75" hidden="false" customHeight="false" outlineLevel="0" collapsed="false">
      <c r="A188" s="11"/>
      <c r="B188" s="10"/>
      <c r="C188" s="10"/>
      <c r="D188" s="10"/>
      <c r="E188" s="10"/>
      <c r="F188" s="12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3"/>
      <c r="AB188" s="13"/>
      <c r="AC188" s="10"/>
      <c r="AD188" s="10"/>
      <c r="AE188" s="10"/>
      <c r="AF188" s="10"/>
    </row>
    <row r="189" customFormat="false" ht="15.75" hidden="false" customHeight="false" outlineLevel="0" collapsed="false">
      <c r="A189" s="11"/>
      <c r="B189" s="10"/>
      <c r="C189" s="10"/>
      <c r="D189" s="10"/>
      <c r="E189" s="10"/>
      <c r="F189" s="12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3"/>
      <c r="AB189" s="13"/>
      <c r="AC189" s="10"/>
      <c r="AD189" s="10"/>
      <c r="AE189" s="10"/>
      <c r="AF189" s="10"/>
    </row>
    <row r="190" customFormat="false" ht="15.75" hidden="false" customHeight="false" outlineLevel="0" collapsed="false">
      <c r="A190" s="11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3"/>
      <c r="AB190" s="13"/>
      <c r="AC190" s="10"/>
      <c r="AD190" s="10"/>
      <c r="AE190" s="10"/>
      <c r="AF190" s="10"/>
    </row>
    <row r="191" customFormat="false" ht="15.75" hidden="false" customHeight="false" outlineLevel="0" collapsed="false">
      <c r="A191" s="11"/>
      <c r="B191" s="10"/>
      <c r="C191" s="10"/>
      <c r="D191" s="10"/>
      <c r="E191" s="10"/>
      <c r="F191" s="16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3"/>
      <c r="AB191" s="13"/>
      <c r="AC191" s="10"/>
      <c r="AD191" s="10"/>
      <c r="AE191" s="10"/>
      <c r="AF191" s="10"/>
    </row>
    <row r="192" customFormat="false" ht="15.75" hidden="false" customHeight="false" outlineLevel="0" collapsed="false">
      <c r="A192" s="11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3"/>
      <c r="AB192" s="13"/>
      <c r="AC192" s="10"/>
      <c r="AD192" s="10"/>
      <c r="AE192" s="10"/>
      <c r="AF192" s="10"/>
    </row>
    <row r="193" customFormat="false" ht="15.75" hidden="false" customHeight="false" outlineLevel="0" collapsed="false">
      <c r="A193" s="11"/>
      <c r="B193" s="10"/>
      <c r="C193" s="10"/>
      <c r="D193" s="10"/>
      <c r="E193" s="10"/>
      <c r="F193" s="12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3"/>
      <c r="AB193" s="13"/>
      <c r="AC193" s="10"/>
      <c r="AD193" s="10"/>
      <c r="AE193" s="10"/>
      <c r="AF193" s="10"/>
    </row>
    <row r="194" customFormat="false" ht="15.75" hidden="false" customHeight="false" outlineLevel="0" collapsed="false">
      <c r="A194" s="11"/>
      <c r="B194" s="10"/>
      <c r="C194" s="10"/>
      <c r="D194" s="10"/>
      <c r="E194" s="10"/>
      <c r="F194" s="12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3"/>
      <c r="AB194" s="13"/>
      <c r="AC194" s="10"/>
      <c r="AD194" s="10"/>
      <c r="AE194" s="10"/>
      <c r="AF194" s="10"/>
    </row>
    <row r="195" customFormat="false" ht="15.75" hidden="false" customHeight="false" outlineLevel="0" collapsed="false">
      <c r="A195" s="11"/>
      <c r="B195" s="10"/>
      <c r="C195" s="10"/>
      <c r="D195" s="10"/>
      <c r="E195" s="10"/>
      <c r="F195" s="12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3"/>
      <c r="AB195" s="13"/>
      <c r="AC195" s="10"/>
      <c r="AD195" s="10"/>
      <c r="AE195" s="10"/>
      <c r="AF195" s="10"/>
    </row>
    <row r="196" customFormat="false" ht="15.75" hidden="false" customHeight="false" outlineLevel="0" collapsed="false">
      <c r="A196" s="11"/>
      <c r="B196" s="10"/>
      <c r="C196" s="10"/>
      <c r="D196" s="10"/>
      <c r="E196" s="10"/>
      <c r="F196" s="16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3"/>
      <c r="AB196" s="13"/>
      <c r="AC196" s="10"/>
      <c r="AD196" s="10"/>
      <c r="AE196" s="10"/>
      <c r="AF196" s="10"/>
    </row>
    <row r="197" customFormat="false" ht="15.75" hidden="false" customHeight="false" outlineLevel="0" collapsed="false">
      <c r="A197" s="11"/>
      <c r="B197" s="10"/>
      <c r="C197" s="10"/>
      <c r="D197" s="10"/>
      <c r="E197" s="10"/>
      <c r="F197" s="10"/>
      <c r="G197" s="10"/>
      <c r="H197" s="13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3"/>
      <c r="AB197" s="13"/>
      <c r="AC197" s="10"/>
      <c r="AD197" s="10"/>
      <c r="AE197" s="10"/>
      <c r="AF197" s="10"/>
    </row>
    <row r="198" customFormat="false" ht="15.75" hidden="false" customHeight="false" outlineLevel="0" collapsed="false">
      <c r="A198" s="11"/>
      <c r="B198" s="10"/>
      <c r="C198" s="10"/>
      <c r="D198" s="10"/>
      <c r="E198" s="10"/>
      <c r="F198" s="12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3"/>
      <c r="AB198" s="13"/>
      <c r="AC198" s="10"/>
      <c r="AD198" s="10"/>
      <c r="AE198" s="10"/>
      <c r="AF198" s="10"/>
    </row>
    <row r="199" customFormat="false" ht="15.75" hidden="false" customHeight="false" outlineLevel="0" collapsed="false">
      <c r="A199" s="11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3"/>
      <c r="AB199" s="13"/>
      <c r="AC199" s="10"/>
      <c r="AD199" s="10"/>
      <c r="AE199" s="10"/>
      <c r="AF199" s="10"/>
    </row>
    <row r="200" customFormat="false" ht="15.75" hidden="false" customHeight="false" outlineLevel="0" collapsed="false">
      <c r="A200" s="11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3"/>
      <c r="AB200" s="13"/>
      <c r="AC200" s="10"/>
      <c r="AD200" s="10"/>
      <c r="AE200" s="10"/>
      <c r="AF200" s="10"/>
    </row>
    <row r="201" customFormat="false" ht="15.75" hidden="false" customHeight="false" outlineLevel="0" collapsed="false">
      <c r="A201" s="11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3"/>
      <c r="AB201" s="13"/>
      <c r="AC201" s="10"/>
      <c r="AD201" s="10"/>
      <c r="AE201" s="10"/>
      <c r="AF201" s="10"/>
    </row>
    <row r="202" customFormat="false" ht="15.75" hidden="false" customHeight="false" outlineLevel="0" collapsed="false">
      <c r="A202" s="11"/>
      <c r="B202" s="10"/>
      <c r="C202" s="10"/>
      <c r="D202" s="10"/>
      <c r="E202" s="10"/>
      <c r="F202" s="12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3"/>
      <c r="AB202" s="13"/>
      <c r="AC202" s="10"/>
      <c r="AD202" s="10"/>
      <c r="AE202" s="10"/>
      <c r="AF202" s="10"/>
    </row>
    <row r="203" customFormat="false" ht="15.75" hidden="false" customHeight="false" outlineLevel="0" collapsed="false">
      <c r="A203" s="11"/>
      <c r="B203" s="10"/>
      <c r="C203" s="10"/>
      <c r="D203" s="10"/>
      <c r="E203" s="10"/>
      <c r="F203" s="12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3"/>
      <c r="AB203" s="13"/>
      <c r="AC203" s="10"/>
      <c r="AD203" s="10"/>
      <c r="AE203" s="10"/>
      <c r="AF203" s="10"/>
    </row>
    <row r="204" customFormat="false" ht="15.75" hidden="false" customHeight="false" outlineLevel="0" collapsed="false">
      <c r="A204" s="11"/>
      <c r="B204" s="10"/>
      <c r="C204" s="10"/>
      <c r="D204" s="10"/>
      <c r="E204" s="10"/>
      <c r="F204" s="12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3"/>
      <c r="AB204" s="13"/>
      <c r="AC204" s="10"/>
      <c r="AD204" s="10"/>
      <c r="AE204" s="10"/>
      <c r="AF204" s="10"/>
    </row>
    <row r="205" customFormat="false" ht="15.75" hidden="false" customHeight="false" outlineLevel="0" collapsed="false">
      <c r="A205" s="11"/>
      <c r="B205" s="10"/>
      <c r="C205" s="10"/>
      <c r="D205" s="10"/>
      <c r="E205" s="10"/>
      <c r="F205" s="12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3"/>
      <c r="AB205" s="13"/>
      <c r="AC205" s="10"/>
      <c r="AD205" s="10"/>
      <c r="AE205" s="10"/>
      <c r="AF205" s="10"/>
    </row>
    <row r="206" customFormat="false" ht="15.75" hidden="false" customHeight="false" outlineLevel="0" collapsed="false">
      <c r="A206" s="11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3"/>
      <c r="AB206" s="13"/>
      <c r="AC206" s="10"/>
      <c r="AD206" s="10"/>
      <c r="AE206" s="10"/>
      <c r="AF206" s="10"/>
    </row>
    <row r="207" customFormat="false" ht="15.75" hidden="false" customHeight="false" outlineLevel="0" collapsed="false">
      <c r="A207" s="11"/>
      <c r="B207" s="10"/>
      <c r="C207" s="10"/>
      <c r="D207" s="10"/>
      <c r="E207" s="10"/>
      <c r="F207" s="12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3"/>
      <c r="AB207" s="13"/>
      <c r="AC207" s="10"/>
      <c r="AD207" s="10"/>
      <c r="AE207" s="10"/>
      <c r="AF207" s="10"/>
    </row>
    <row r="208" customFormat="false" ht="15.75" hidden="false" customHeight="false" outlineLevel="0" collapsed="false">
      <c r="A208" s="11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3"/>
      <c r="AB208" s="13"/>
      <c r="AC208" s="10"/>
      <c r="AD208" s="10"/>
      <c r="AE208" s="10"/>
      <c r="AF208" s="10"/>
    </row>
    <row r="209" customFormat="false" ht="15.75" hidden="false" customHeight="false" outlineLevel="0" collapsed="false">
      <c r="A209" s="11"/>
      <c r="B209" s="10"/>
      <c r="C209" s="10"/>
      <c r="D209" s="10"/>
      <c r="E209" s="10"/>
      <c r="F209" s="10"/>
      <c r="G209" s="10"/>
      <c r="H209" s="13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3"/>
      <c r="AB209" s="13"/>
      <c r="AC209" s="10"/>
      <c r="AD209" s="10"/>
      <c r="AE209" s="10"/>
      <c r="AF209" s="10"/>
    </row>
    <row r="210" customFormat="false" ht="15.75" hidden="false" customHeight="false" outlineLevel="0" collapsed="false">
      <c r="A210" s="11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3"/>
      <c r="AB210" s="13"/>
      <c r="AC210" s="10"/>
      <c r="AD210" s="10"/>
      <c r="AE210" s="10"/>
      <c r="AF210" s="10"/>
    </row>
    <row r="211" customFormat="false" ht="15.75" hidden="false" customHeight="false" outlineLevel="0" collapsed="false">
      <c r="A211" s="11"/>
      <c r="B211" s="10"/>
      <c r="C211" s="10"/>
      <c r="D211" s="10"/>
      <c r="E211" s="10"/>
      <c r="F211" s="12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3"/>
      <c r="AB211" s="13"/>
      <c r="AC211" s="10"/>
      <c r="AD211" s="10"/>
      <c r="AE211" s="10"/>
      <c r="AF211" s="10"/>
    </row>
    <row r="212" customFormat="false" ht="15.75" hidden="false" customHeight="false" outlineLevel="0" collapsed="false">
      <c r="A212" s="11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3"/>
      <c r="AB212" s="13"/>
      <c r="AC212" s="10"/>
      <c r="AD212" s="10"/>
      <c r="AE212" s="10"/>
      <c r="AF212" s="10"/>
    </row>
    <row r="213" customFormat="false" ht="15.75" hidden="false" customHeight="false" outlineLevel="0" collapsed="false">
      <c r="A213" s="11"/>
      <c r="B213" s="10"/>
      <c r="C213" s="10"/>
      <c r="D213" s="10"/>
      <c r="E213" s="10"/>
      <c r="F213" s="12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3"/>
      <c r="AB213" s="13"/>
      <c r="AC213" s="10"/>
      <c r="AD213" s="10"/>
      <c r="AE213" s="10"/>
      <c r="AF213" s="10"/>
    </row>
    <row r="214" customFormat="false" ht="15.75" hidden="false" customHeight="false" outlineLevel="0" collapsed="false">
      <c r="A214" s="11"/>
      <c r="B214" s="10"/>
      <c r="C214" s="10"/>
      <c r="D214" s="10"/>
      <c r="E214" s="10"/>
      <c r="F214" s="12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3"/>
      <c r="AB214" s="13"/>
      <c r="AC214" s="10"/>
      <c r="AD214" s="10"/>
      <c r="AE214" s="10"/>
      <c r="AF214" s="10"/>
    </row>
    <row r="215" customFormat="false" ht="15.75" hidden="false" customHeight="false" outlineLevel="0" collapsed="false">
      <c r="A215" s="11"/>
      <c r="B215" s="10"/>
      <c r="C215" s="10"/>
      <c r="D215" s="10"/>
      <c r="E215" s="10"/>
      <c r="F215" s="12"/>
      <c r="G215" s="10"/>
      <c r="H215" s="13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3"/>
      <c r="AB215" s="13"/>
      <c r="AC215" s="10"/>
      <c r="AD215" s="10"/>
      <c r="AE215" s="10"/>
      <c r="AF215" s="10"/>
    </row>
    <row r="216" customFormat="false" ht="15.75" hidden="false" customHeight="false" outlineLevel="0" collapsed="false">
      <c r="A216" s="11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3"/>
      <c r="AB216" s="13"/>
      <c r="AC216" s="10"/>
      <c r="AD216" s="10"/>
      <c r="AE216" s="10"/>
      <c r="AF216" s="10"/>
    </row>
    <row r="217" customFormat="false" ht="15.75" hidden="false" customHeight="false" outlineLevel="0" collapsed="false">
      <c r="A217" s="11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3"/>
      <c r="AB217" s="13"/>
      <c r="AC217" s="10"/>
      <c r="AD217" s="10"/>
      <c r="AE217" s="10"/>
      <c r="AF217" s="10"/>
    </row>
    <row r="218" customFormat="false" ht="15.75" hidden="false" customHeight="false" outlineLevel="0" collapsed="false">
      <c r="A218" s="11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3"/>
      <c r="AB218" s="13"/>
      <c r="AC218" s="10"/>
      <c r="AD218" s="10"/>
      <c r="AE218" s="10"/>
      <c r="AF218" s="10"/>
    </row>
    <row r="219" customFormat="false" ht="15.75" hidden="false" customHeight="false" outlineLevel="0" collapsed="false">
      <c r="A219" s="11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3"/>
      <c r="AB219" s="13"/>
      <c r="AC219" s="10"/>
      <c r="AD219" s="10"/>
      <c r="AE219" s="10"/>
      <c r="AF219" s="10"/>
    </row>
    <row r="220" customFormat="false" ht="15.75" hidden="false" customHeight="false" outlineLevel="0" collapsed="false">
      <c r="A220" s="11"/>
      <c r="B220" s="10"/>
      <c r="C220" s="10"/>
      <c r="D220" s="10"/>
      <c r="E220" s="10"/>
      <c r="F220" s="16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3"/>
      <c r="AB220" s="13"/>
      <c r="AC220" s="10"/>
      <c r="AD220" s="10"/>
      <c r="AE220" s="10"/>
      <c r="AF220" s="10"/>
    </row>
    <row r="221" customFormat="false" ht="15.75" hidden="false" customHeight="false" outlineLevel="0" collapsed="false">
      <c r="A221" s="11"/>
      <c r="B221" s="10"/>
      <c r="C221" s="10"/>
      <c r="D221" s="10"/>
      <c r="E221" s="10"/>
      <c r="F221" s="12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3"/>
      <c r="AB221" s="13"/>
      <c r="AC221" s="10"/>
      <c r="AD221" s="10"/>
      <c r="AE221" s="10"/>
      <c r="AF221" s="10"/>
    </row>
    <row r="222" customFormat="false" ht="15.75" hidden="false" customHeight="false" outlineLevel="0" collapsed="false">
      <c r="A222" s="11"/>
      <c r="B222" s="10"/>
      <c r="C222" s="10"/>
      <c r="D222" s="10"/>
      <c r="E222" s="10"/>
      <c r="F222" s="12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3"/>
      <c r="AB222" s="13"/>
      <c r="AC222" s="10"/>
      <c r="AD222" s="10"/>
      <c r="AE222" s="10"/>
      <c r="AF222" s="10"/>
    </row>
    <row r="223" customFormat="false" ht="15.75" hidden="false" customHeight="false" outlineLevel="0" collapsed="false">
      <c r="A223" s="11"/>
      <c r="B223" s="10"/>
      <c r="C223" s="10"/>
      <c r="D223" s="10"/>
      <c r="E223" s="10"/>
      <c r="F223" s="12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3"/>
      <c r="AB223" s="13"/>
      <c r="AC223" s="10"/>
      <c r="AD223" s="10"/>
      <c r="AE223" s="10"/>
      <c r="AF223" s="10"/>
    </row>
    <row r="224" customFormat="false" ht="15.75" hidden="false" customHeight="false" outlineLevel="0" collapsed="false">
      <c r="A224" s="11"/>
      <c r="B224" s="10"/>
      <c r="C224" s="10"/>
      <c r="D224" s="10"/>
      <c r="E224" s="10"/>
      <c r="F224" s="12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3"/>
      <c r="AB224" s="13"/>
      <c r="AC224" s="10"/>
      <c r="AD224" s="10"/>
      <c r="AE224" s="10"/>
      <c r="AF224" s="10"/>
    </row>
    <row r="225" customFormat="false" ht="15.75" hidden="false" customHeight="false" outlineLevel="0" collapsed="false">
      <c r="A225" s="11"/>
      <c r="B225" s="10"/>
      <c r="C225" s="10"/>
      <c r="D225" s="10"/>
      <c r="E225" s="10"/>
      <c r="F225" s="12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3"/>
      <c r="AB225" s="13"/>
      <c r="AC225" s="10"/>
      <c r="AD225" s="10"/>
      <c r="AE225" s="10"/>
      <c r="AF225" s="10"/>
    </row>
    <row r="226" customFormat="false" ht="15.75" hidden="false" customHeight="false" outlineLevel="0" collapsed="false">
      <c r="A226" s="11"/>
      <c r="B226" s="10"/>
      <c r="C226" s="10"/>
      <c r="D226" s="10"/>
      <c r="E226" s="10"/>
      <c r="F226" s="12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3"/>
      <c r="AB226" s="13"/>
      <c r="AC226" s="10"/>
      <c r="AD226" s="10"/>
      <c r="AE226" s="10"/>
      <c r="AF226" s="10"/>
    </row>
    <row r="227" customFormat="false" ht="15.75" hidden="false" customHeight="false" outlineLevel="0" collapsed="false">
      <c r="A227" s="11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3"/>
      <c r="AB227" s="13"/>
      <c r="AC227" s="10"/>
      <c r="AD227" s="10"/>
      <c r="AE227" s="10"/>
      <c r="AF227" s="10"/>
    </row>
    <row r="228" customFormat="false" ht="15.75" hidden="false" customHeight="false" outlineLevel="0" collapsed="false">
      <c r="A228" s="11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3"/>
      <c r="AB228" s="13"/>
      <c r="AC228" s="10"/>
      <c r="AD228" s="10"/>
      <c r="AE228" s="10"/>
      <c r="AF228" s="10"/>
    </row>
    <row r="229" customFormat="false" ht="15.75" hidden="false" customHeight="false" outlineLevel="0" collapsed="false">
      <c r="A229" s="11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3"/>
      <c r="AB229" s="13"/>
      <c r="AC229" s="10"/>
      <c r="AD229" s="10"/>
      <c r="AE229" s="10"/>
      <c r="AF229" s="10"/>
    </row>
    <row r="230" customFormat="false" ht="15.75" hidden="false" customHeight="false" outlineLevel="0" collapsed="false">
      <c r="A230" s="11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3"/>
      <c r="AB230" s="13"/>
      <c r="AC230" s="10"/>
      <c r="AD230" s="10"/>
      <c r="AE230" s="10"/>
      <c r="AF230" s="10"/>
    </row>
    <row r="231" customFormat="false" ht="15.75" hidden="false" customHeight="false" outlineLevel="0" collapsed="false">
      <c r="A231" s="11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3"/>
      <c r="AB231" s="13"/>
      <c r="AC231" s="10"/>
      <c r="AD231" s="10"/>
      <c r="AE231" s="10"/>
      <c r="AF231" s="10"/>
    </row>
    <row r="232" customFormat="false" ht="15.75" hidden="false" customHeight="false" outlineLevel="0" collapsed="false">
      <c r="A232" s="11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3"/>
      <c r="AB232" s="13"/>
      <c r="AC232" s="10"/>
      <c r="AD232" s="10"/>
      <c r="AE232" s="10"/>
      <c r="AF232" s="10"/>
    </row>
    <row r="233" customFormat="false" ht="15.75" hidden="false" customHeight="false" outlineLevel="0" collapsed="false">
      <c r="A233" s="11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3"/>
      <c r="AB233" s="13"/>
      <c r="AC233" s="10"/>
      <c r="AD233" s="10"/>
      <c r="AE233" s="10"/>
      <c r="AF233" s="10"/>
    </row>
    <row r="234" customFormat="false" ht="15.75" hidden="false" customHeight="false" outlineLevel="0" collapsed="false">
      <c r="A234" s="11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3"/>
      <c r="AB234" s="13"/>
      <c r="AC234" s="10"/>
      <c r="AD234" s="10"/>
      <c r="AE234" s="10"/>
      <c r="AF234" s="10"/>
    </row>
    <row r="235" customFormat="false" ht="15.75" hidden="false" customHeight="false" outlineLevel="0" collapsed="false">
      <c r="A235" s="11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3"/>
      <c r="AB235" s="13"/>
      <c r="AC235" s="10"/>
      <c r="AD235" s="10"/>
      <c r="AE235" s="10"/>
      <c r="AF235" s="10"/>
    </row>
    <row r="236" customFormat="false" ht="15.75" hidden="false" customHeight="false" outlineLevel="0" collapsed="false">
      <c r="A236" s="11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3"/>
      <c r="AB236" s="13"/>
      <c r="AC236" s="10"/>
      <c r="AD236" s="10"/>
      <c r="AE236" s="10"/>
      <c r="AF236" s="10"/>
    </row>
    <row r="237" customFormat="false" ht="15.75" hidden="false" customHeight="false" outlineLevel="0" collapsed="false">
      <c r="A237" s="11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3"/>
      <c r="AB237" s="13"/>
      <c r="AC237" s="10"/>
      <c r="AD237" s="10"/>
      <c r="AE237" s="10"/>
      <c r="AF237" s="10"/>
    </row>
    <row r="238" customFormat="false" ht="15.75" hidden="false" customHeight="false" outlineLevel="0" collapsed="false">
      <c r="A238" s="11"/>
      <c r="B238" s="10"/>
      <c r="C238" s="10"/>
      <c r="D238" s="10"/>
      <c r="E238" s="10"/>
      <c r="F238" s="12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3"/>
      <c r="AB238" s="13"/>
      <c r="AC238" s="10"/>
      <c r="AD238" s="10"/>
      <c r="AE238" s="10"/>
      <c r="AF238" s="10"/>
    </row>
    <row r="239" customFormat="false" ht="15.75" hidden="false" customHeight="false" outlineLevel="0" collapsed="false">
      <c r="A239" s="11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3"/>
      <c r="AB239" s="13"/>
      <c r="AC239" s="10"/>
      <c r="AD239" s="10"/>
      <c r="AE239" s="10"/>
      <c r="AF239" s="10"/>
    </row>
    <row r="240" customFormat="false" ht="15.75" hidden="false" customHeight="false" outlineLevel="0" collapsed="false">
      <c r="A240" s="11"/>
      <c r="B240" s="10"/>
      <c r="C240" s="10"/>
      <c r="D240" s="10"/>
      <c r="E240" s="10"/>
      <c r="F240" s="12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3"/>
      <c r="AB240" s="13"/>
      <c r="AC240" s="10"/>
      <c r="AD240" s="10"/>
      <c r="AE240" s="10"/>
      <c r="AF240" s="10"/>
    </row>
    <row r="241" customFormat="false" ht="15.75" hidden="false" customHeight="false" outlineLevel="0" collapsed="false">
      <c r="A241" s="11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3"/>
      <c r="AB241" s="13"/>
      <c r="AC241" s="10"/>
      <c r="AD241" s="10"/>
      <c r="AE241" s="10"/>
      <c r="AF241" s="10"/>
    </row>
    <row r="242" customFormat="false" ht="15.75" hidden="false" customHeight="false" outlineLevel="0" collapsed="false">
      <c r="A242" s="11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3"/>
      <c r="AB242" s="13"/>
      <c r="AC242" s="10"/>
      <c r="AD242" s="10"/>
      <c r="AE242" s="10"/>
      <c r="AF242" s="10"/>
    </row>
    <row r="243" customFormat="false" ht="15.75" hidden="false" customHeight="false" outlineLevel="0" collapsed="false">
      <c r="A243" s="11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3"/>
      <c r="AB243" s="13"/>
      <c r="AC243" s="10"/>
      <c r="AD243" s="10"/>
      <c r="AE243" s="10"/>
      <c r="AF243" s="10"/>
    </row>
    <row r="244" customFormat="false" ht="15.75" hidden="false" customHeight="false" outlineLevel="0" collapsed="false">
      <c r="A244" s="11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3"/>
      <c r="AB244" s="13"/>
      <c r="AC244" s="10"/>
      <c r="AD244" s="10"/>
      <c r="AE244" s="10"/>
      <c r="AF244" s="10"/>
    </row>
    <row r="245" customFormat="false" ht="15.75" hidden="false" customHeight="false" outlineLevel="0" collapsed="false">
      <c r="A245" s="11"/>
      <c r="B245" s="10"/>
      <c r="C245" s="10"/>
      <c r="D245" s="10"/>
      <c r="E245" s="10"/>
      <c r="F245" s="10"/>
      <c r="G245" s="10"/>
      <c r="H245" s="13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3"/>
      <c r="AB245" s="13"/>
      <c r="AC245" s="10"/>
      <c r="AD245" s="10"/>
      <c r="AE245" s="10"/>
      <c r="AF245" s="10"/>
    </row>
    <row r="246" customFormat="false" ht="15.75" hidden="false" customHeight="false" outlineLevel="0" collapsed="false">
      <c r="A246" s="11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3"/>
      <c r="AB246" s="13"/>
      <c r="AC246" s="10"/>
      <c r="AD246" s="10"/>
      <c r="AE246" s="10"/>
      <c r="AF246" s="10"/>
    </row>
    <row r="247" customFormat="false" ht="15.75" hidden="false" customHeight="false" outlineLevel="0" collapsed="false">
      <c r="A247" s="11"/>
      <c r="B247" s="10"/>
      <c r="C247" s="10"/>
      <c r="D247" s="10"/>
      <c r="E247" s="10"/>
      <c r="F247" s="12"/>
      <c r="G247" s="10"/>
      <c r="H247" s="13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3"/>
      <c r="AB247" s="13"/>
      <c r="AC247" s="10"/>
      <c r="AD247" s="10"/>
      <c r="AE247" s="10"/>
      <c r="AF247" s="10"/>
    </row>
    <row r="248" customFormat="false" ht="15.75" hidden="false" customHeight="false" outlineLevel="0" collapsed="false">
      <c r="A248" s="11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3"/>
      <c r="AB248" s="13"/>
      <c r="AC248" s="10"/>
      <c r="AD248" s="10"/>
      <c r="AE248" s="10"/>
      <c r="AF248" s="10"/>
    </row>
    <row r="249" customFormat="false" ht="15.75" hidden="false" customHeight="false" outlineLevel="0" collapsed="false">
      <c r="A249" s="11"/>
      <c r="B249" s="10"/>
      <c r="C249" s="10"/>
      <c r="D249" s="10"/>
      <c r="E249" s="10"/>
      <c r="F249" s="10"/>
      <c r="G249" s="10"/>
      <c r="H249" s="13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3"/>
      <c r="AB249" s="13"/>
      <c r="AC249" s="10"/>
      <c r="AD249" s="10"/>
      <c r="AE249" s="10"/>
      <c r="AF249" s="10"/>
    </row>
    <row r="250" customFormat="false" ht="15.75" hidden="false" customHeight="false" outlineLevel="0" collapsed="false">
      <c r="A250" s="11"/>
      <c r="B250" s="10"/>
      <c r="C250" s="10"/>
      <c r="D250" s="10"/>
      <c r="E250" s="10"/>
      <c r="F250" s="12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3"/>
      <c r="AB250" s="13"/>
      <c r="AC250" s="10"/>
      <c r="AD250" s="10"/>
      <c r="AE250" s="10"/>
      <c r="AF250" s="10"/>
    </row>
    <row r="251" customFormat="false" ht="15.75" hidden="false" customHeight="false" outlineLevel="0" collapsed="false">
      <c r="A251" s="11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3"/>
      <c r="AB251" s="13"/>
      <c r="AC251" s="10"/>
      <c r="AD251" s="10"/>
      <c r="AE251" s="10"/>
      <c r="AF251" s="10"/>
    </row>
    <row r="252" customFormat="false" ht="15.75" hidden="false" customHeight="false" outlineLevel="0" collapsed="false">
      <c r="A252" s="11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3"/>
      <c r="AB252" s="13"/>
      <c r="AC252" s="10"/>
      <c r="AD252" s="10"/>
      <c r="AE252" s="10"/>
      <c r="AF252" s="10"/>
    </row>
    <row r="253" customFormat="false" ht="15.75" hidden="false" customHeight="false" outlineLevel="0" collapsed="false">
      <c r="A253" s="11"/>
      <c r="B253" s="10"/>
      <c r="C253" s="10"/>
      <c r="D253" s="10"/>
      <c r="E253" s="10"/>
      <c r="F253" s="12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3"/>
      <c r="AB253" s="13"/>
      <c r="AC253" s="10"/>
      <c r="AD253" s="10"/>
      <c r="AE253" s="10"/>
      <c r="AF253" s="10"/>
    </row>
    <row r="254" customFormat="false" ht="15.75" hidden="false" customHeight="false" outlineLevel="0" collapsed="false">
      <c r="A254" s="11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3"/>
      <c r="AB254" s="13"/>
      <c r="AC254" s="10"/>
      <c r="AD254" s="10"/>
      <c r="AE254" s="10"/>
      <c r="AF254" s="10"/>
    </row>
    <row r="255" customFormat="false" ht="15.75" hidden="false" customHeight="false" outlineLevel="0" collapsed="false">
      <c r="A255" s="11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3"/>
      <c r="AB255" s="13"/>
      <c r="AC255" s="10"/>
      <c r="AD255" s="10"/>
      <c r="AE255" s="10"/>
      <c r="AF255" s="10"/>
    </row>
    <row r="256" customFormat="false" ht="15.75" hidden="false" customHeight="false" outlineLevel="0" collapsed="false">
      <c r="A256" s="11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3"/>
      <c r="AB256" s="13"/>
      <c r="AC256" s="10"/>
      <c r="AD256" s="10"/>
      <c r="AE256" s="10"/>
      <c r="AF256" s="10"/>
    </row>
    <row r="257" customFormat="false" ht="15.75" hidden="false" customHeight="false" outlineLevel="0" collapsed="false">
      <c r="A257" s="11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3"/>
      <c r="AB257" s="13"/>
      <c r="AC257" s="10"/>
      <c r="AD257" s="10"/>
      <c r="AE257" s="10"/>
      <c r="AF257" s="10"/>
    </row>
    <row r="258" customFormat="false" ht="15.75" hidden="false" customHeight="false" outlineLevel="0" collapsed="false">
      <c r="A258" s="11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3"/>
      <c r="AB258" s="13"/>
      <c r="AC258" s="10"/>
      <c r="AD258" s="10"/>
      <c r="AE258" s="10"/>
      <c r="AF258" s="10"/>
    </row>
    <row r="259" customFormat="false" ht="15.75" hidden="false" customHeight="false" outlineLevel="0" collapsed="false">
      <c r="A259" s="11"/>
      <c r="B259" s="10"/>
      <c r="C259" s="10"/>
      <c r="D259" s="10"/>
      <c r="E259" s="10"/>
      <c r="F259" s="12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3"/>
      <c r="AB259" s="13"/>
      <c r="AC259" s="10"/>
      <c r="AD259" s="10"/>
      <c r="AE259" s="10"/>
      <c r="AF259" s="10"/>
    </row>
    <row r="260" customFormat="false" ht="15.75" hidden="false" customHeight="false" outlineLevel="0" collapsed="false">
      <c r="A260" s="11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3"/>
      <c r="AB260" s="13"/>
      <c r="AC260" s="10"/>
      <c r="AD260" s="10"/>
      <c r="AE260" s="10"/>
      <c r="AF260" s="10"/>
    </row>
    <row r="261" customFormat="false" ht="15.75" hidden="false" customHeight="false" outlineLevel="0" collapsed="false">
      <c r="A261" s="11"/>
      <c r="B261" s="10"/>
      <c r="C261" s="10"/>
      <c r="D261" s="10"/>
      <c r="E261" s="10"/>
      <c r="F261" s="12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3"/>
      <c r="AB261" s="13"/>
      <c r="AC261" s="10"/>
      <c r="AD261" s="10"/>
      <c r="AE261" s="10"/>
      <c r="AF261" s="10"/>
    </row>
    <row r="262" customFormat="false" ht="15.75" hidden="false" customHeight="false" outlineLevel="0" collapsed="false">
      <c r="A262" s="11"/>
      <c r="B262" s="10"/>
      <c r="C262" s="10"/>
      <c r="D262" s="10"/>
      <c r="E262" s="10"/>
      <c r="F262" s="12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3"/>
      <c r="AB262" s="13"/>
      <c r="AC262" s="10"/>
      <c r="AD262" s="10"/>
      <c r="AE262" s="10"/>
      <c r="AF262" s="10"/>
    </row>
    <row r="263" customFormat="false" ht="15.75" hidden="false" customHeight="false" outlineLevel="0" collapsed="false">
      <c r="A263" s="11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3"/>
      <c r="AB263" s="13"/>
      <c r="AC263" s="10"/>
      <c r="AD263" s="10"/>
      <c r="AE263" s="10"/>
      <c r="AF263" s="10"/>
    </row>
    <row r="264" customFormat="false" ht="15.75" hidden="false" customHeight="false" outlineLevel="0" collapsed="false">
      <c r="A264" s="11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3"/>
      <c r="AB264" s="13"/>
      <c r="AC264" s="10"/>
      <c r="AD264" s="10"/>
      <c r="AE264" s="10"/>
      <c r="AF264" s="10"/>
    </row>
    <row r="265" customFormat="false" ht="15.75" hidden="false" customHeight="false" outlineLevel="0" collapsed="false">
      <c r="A265" s="11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3"/>
      <c r="AB265" s="13"/>
      <c r="AC265" s="10"/>
      <c r="AD265" s="10"/>
      <c r="AE265" s="10"/>
      <c r="AF265" s="10"/>
    </row>
    <row r="266" customFormat="false" ht="15.75" hidden="false" customHeight="false" outlineLevel="0" collapsed="false">
      <c r="A266" s="11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3"/>
      <c r="AB266" s="13"/>
      <c r="AC266" s="10"/>
      <c r="AD266" s="10"/>
      <c r="AE266" s="10"/>
      <c r="AF266" s="10"/>
    </row>
    <row r="267" customFormat="false" ht="15.75" hidden="false" customHeight="false" outlineLevel="0" collapsed="false">
      <c r="A267" s="11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3"/>
      <c r="AB267" s="13"/>
      <c r="AC267" s="10"/>
      <c r="AD267" s="10"/>
      <c r="AE267" s="10"/>
      <c r="AF267" s="10"/>
    </row>
    <row r="268" customFormat="false" ht="15.75" hidden="false" customHeight="false" outlineLevel="0" collapsed="false">
      <c r="A268" s="11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3"/>
      <c r="AB268" s="13"/>
      <c r="AC268" s="10"/>
      <c r="AD268" s="10"/>
      <c r="AE268" s="10"/>
      <c r="AF268" s="10"/>
    </row>
    <row r="269" customFormat="false" ht="15.75" hidden="false" customHeight="false" outlineLevel="0" collapsed="false">
      <c r="A269" s="11"/>
      <c r="B269" s="10"/>
      <c r="C269" s="10"/>
      <c r="D269" s="10"/>
      <c r="E269" s="10"/>
      <c r="F269" s="12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3"/>
      <c r="AB269" s="13"/>
      <c r="AC269" s="10"/>
      <c r="AD269" s="10"/>
      <c r="AE269" s="10"/>
      <c r="AF269" s="10"/>
    </row>
    <row r="270" customFormat="false" ht="15.75" hidden="false" customHeight="false" outlineLevel="0" collapsed="false">
      <c r="A270" s="11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3"/>
      <c r="AB270" s="13"/>
      <c r="AC270" s="10"/>
      <c r="AD270" s="10"/>
      <c r="AE270" s="10"/>
      <c r="AF270" s="10"/>
    </row>
    <row r="271" customFormat="false" ht="15.75" hidden="false" customHeight="false" outlineLevel="0" collapsed="false">
      <c r="A271" s="11"/>
      <c r="B271" s="10"/>
      <c r="C271" s="10"/>
      <c r="D271" s="10"/>
      <c r="E271" s="10"/>
      <c r="F271" s="10"/>
      <c r="G271" s="10"/>
      <c r="H271" s="13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3"/>
      <c r="AB271" s="13"/>
      <c r="AC271" s="10"/>
      <c r="AD271" s="10"/>
      <c r="AE271" s="10"/>
      <c r="AF271" s="10"/>
    </row>
    <row r="272" customFormat="false" ht="15.75" hidden="false" customHeight="false" outlineLevel="0" collapsed="false">
      <c r="A272" s="11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3"/>
      <c r="AB272" s="13"/>
      <c r="AC272" s="10"/>
      <c r="AD272" s="10"/>
      <c r="AE272" s="10"/>
      <c r="AF272" s="10"/>
    </row>
    <row r="273" customFormat="false" ht="15.75" hidden="false" customHeight="false" outlineLevel="0" collapsed="false">
      <c r="A273" s="11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3"/>
      <c r="AB273" s="13"/>
      <c r="AC273" s="10"/>
      <c r="AD273" s="10"/>
      <c r="AE273" s="10"/>
      <c r="AF273" s="10"/>
    </row>
    <row r="274" customFormat="false" ht="15.75" hidden="false" customHeight="false" outlineLevel="0" collapsed="false">
      <c r="A274" s="11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3"/>
      <c r="AB274" s="13"/>
      <c r="AC274" s="10"/>
      <c r="AD274" s="10"/>
      <c r="AE274" s="10"/>
      <c r="AF274" s="10"/>
    </row>
    <row r="275" customFormat="false" ht="15.75" hidden="false" customHeight="false" outlineLevel="0" collapsed="false">
      <c r="A275" s="11"/>
      <c r="B275" s="10"/>
      <c r="C275" s="10"/>
      <c r="D275" s="10"/>
      <c r="E275" s="10"/>
      <c r="F275" s="10"/>
      <c r="G275" s="10"/>
      <c r="H275" s="13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3"/>
      <c r="AB275" s="13"/>
      <c r="AC275" s="10"/>
      <c r="AD275" s="10"/>
      <c r="AE275" s="10"/>
      <c r="AF275" s="10"/>
    </row>
    <row r="276" customFormat="false" ht="15.75" hidden="false" customHeight="false" outlineLevel="0" collapsed="false">
      <c r="A276" s="11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3"/>
      <c r="AB276" s="13"/>
      <c r="AC276" s="10"/>
      <c r="AD276" s="10"/>
      <c r="AE276" s="10"/>
      <c r="AF276" s="10"/>
    </row>
    <row r="277" customFormat="false" ht="15.75" hidden="false" customHeight="false" outlineLevel="0" collapsed="false">
      <c r="A277" s="11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3"/>
      <c r="AB277" s="13"/>
      <c r="AC277" s="10"/>
      <c r="AD277" s="10"/>
      <c r="AE277" s="10"/>
      <c r="AF277" s="10"/>
    </row>
    <row r="278" customFormat="false" ht="15.75" hidden="false" customHeight="false" outlineLevel="0" collapsed="false">
      <c r="A278" s="11"/>
      <c r="B278" s="10"/>
      <c r="C278" s="10"/>
      <c r="D278" s="10"/>
      <c r="E278" s="10"/>
      <c r="F278" s="12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3"/>
      <c r="AB278" s="13"/>
      <c r="AC278" s="10"/>
      <c r="AD278" s="10"/>
      <c r="AE278" s="10"/>
      <c r="AF278" s="10"/>
    </row>
    <row r="279" customFormat="false" ht="15.75" hidden="false" customHeight="false" outlineLevel="0" collapsed="false">
      <c r="A279" s="11"/>
      <c r="B279" s="10"/>
      <c r="C279" s="10"/>
      <c r="D279" s="10"/>
      <c r="E279" s="10"/>
      <c r="F279" s="12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3"/>
      <c r="AB279" s="13"/>
      <c r="AC279" s="10"/>
      <c r="AD279" s="10"/>
      <c r="AE279" s="10"/>
      <c r="AF279" s="10"/>
    </row>
    <row r="280" customFormat="false" ht="15.75" hidden="false" customHeight="false" outlineLevel="0" collapsed="false">
      <c r="A280" s="11" t="n">
        <v>46113.4915702315</v>
      </c>
      <c r="B280" s="10" t="s">
        <v>58</v>
      </c>
      <c r="C280" s="10" t="s">
        <v>59</v>
      </c>
      <c r="D280" s="10" t="n">
        <v>52642114</v>
      </c>
      <c r="E280" s="10" t="s">
        <v>60</v>
      </c>
      <c r="F280" s="12" t="n">
        <v>41252</v>
      </c>
      <c r="G280" s="10" t="s">
        <v>61</v>
      </c>
      <c r="H280" s="10" t="s">
        <v>62</v>
      </c>
      <c r="I280" s="10" t="s">
        <v>63</v>
      </c>
      <c r="J280" s="10" t="s">
        <v>64</v>
      </c>
      <c r="K280" s="10" t="s">
        <v>65</v>
      </c>
      <c r="L280" s="10" t="n">
        <v>1431</v>
      </c>
      <c r="M280" s="10" t="s">
        <v>66</v>
      </c>
      <c r="N280" s="10" t="s">
        <v>67</v>
      </c>
      <c r="O280" s="10" t="n">
        <v>1164974671</v>
      </c>
      <c r="P280" s="10" t="s">
        <v>68</v>
      </c>
      <c r="Q280" s="10" t="s">
        <v>62</v>
      </c>
      <c r="R280" s="10" t="s">
        <v>62</v>
      </c>
      <c r="S280" s="10" t="s">
        <v>69</v>
      </c>
      <c r="T280" s="10" t="s">
        <v>70</v>
      </c>
      <c r="U280" s="10" t="s">
        <v>62</v>
      </c>
      <c r="V280" s="10" t="n">
        <v>1</v>
      </c>
      <c r="W280" s="10" t="n">
        <v>2</v>
      </c>
      <c r="X280" s="10" t="s">
        <v>71</v>
      </c>
      <c r="Y280" s="10" t="s">
        <v>72</v>
      </c>
      <c r="Z280" s="10" t="s">
        <v>73</v>
      </c>
      <c r="AA280" s="13" t="s">
        <v>74</v>
      </c>
      <c r="AB280" s="13" t="s">
        <v>75</v>
      </c>
      <c r="AC280" s="10"/>
      <c r="AD280" s="10"/>
      <c r="AE280" s="10"/>
      <c r="AF280" s="10"/>
    </row>
    <row r="281" customFormat="false" ht="15.75" hidden="false" customHeight="false" outlineLevel="0" collapsed="false">
      <c r="A281" s="11" t="n">
        <v>46133.6948621528</v>
      </c>
      <c r="B281" s="10" t="s">
        <v>76</v>
      </c>
      <c r="C281" s="10" t="s">
        <v>77</v>
      </c>
      <c r="D281" s="10" t="n">
        <v>95550606</v>
      </c>
      <c r="E281" s="10" t="s">
        <v>78</v>
      </c>
      <c r="F281" s="10" t="s">
        <v>79</v>
      </c>
      <c r="G281" s="10" t="s">
        <v>80</v>
      </c>
      <c r="H281" s="10" t="s">
        <v>81</v>
      </c>
      <c r="I281" s="10" t="s">
        <v>82</v>
      </c>
      <c r="J281" s="10" t="s">
        <v>83</v>
      </c>
      <c r="K281" s="10" t="s">
        <v>84</v>
      </c>
      <c r="L281" s="10" t="n">
        <v>1428</v>
      </c>
      <c r="M281" s="10" t="s">
        <v>85</v>
      </c>
      <c r="N281" s="10" t="s">
        <v>86</v>
      </c>
      <c r="O281" s="10" t="n">
        <v>1166571467</v>
      </c>
      <c r="P281" s="10" t="s">
        <v>87</v>
      </c>
      <c r="Q281" s="10" t="s">
        <v>88</v>
      </c>
      <c r="R281" s="10" t="s">
        <v>76</v>
      </c>
      <c r="S281" s="10" t="n">
        <v>1166571486</v>
      </c>
      <c r="T281" s="10" t="s">
        <v>89</v>
      </c>
      <c r="U281" s="10"/>
      <c r="V281" s="10" t="n">
        <v>5</v>
      </c>
      <c r="W281" s="10" t="n">
        <v>1</v>
      </c>
      <c r="X281" s="10" t="s">
        <v>71</v>
      </c>
      <c r="Y281" s="10" t="s">
        <v>90</v>
      </c>
      <c r="Z281" s="10" t="s">
        <v>91</v>
      </c>
      <c r="AA281" s="13" t="s">
        <v>92</v>
      </c>
      <c r="AB281" s="13" t="s">
        <v>75</v>
      </c>
      <c r="AC281" s="10"/>
      <c r="AD281" s="10"/>
      <c r="AE281" s="10"/>
      <c r="AF281" s="10"/>
    </row>
    <row r="282" customFormat="false" ht="15.75" hidden="false" customHeight="false" outlineLevel="0" collapsed="false">
      <c r="A282" s="11" t="n">
        <v>46128.7142618287</v>
      </c>
      <c r="B282" s="10" t="s">
        <v>93</v>
      </c>
      <c r="C282" s="10" t="s">
        <v>94</v>
      </c>
      <c r="D282" s="10" t="n">
        <v>51340216</v>
      </c>
      <c r="E282" s="10" t="s">
        <v>95</v>
      </c>
      <c r="F282" s="10" t="s">
        <v>96</v>
      </c>
      <c r="G282" s="10" t="s">
        <v>97</v>
      </c>
      <c r="H282" s="10" t="s">
        <v>98</v>
      </c>
      <c r="I282" s="10" t="s">
        <v>99</v>
      </c>
      <c r="J282" s="10" t="s">
        <v>99</v>
      </c>
      <c r="K282" s="10" t="s">
        <v>99</v>
      </c>
      <c r="L282" s="10" t="n">
        <v>1636</v>
      </c>
      <c r="M282" s="10" t="s">
        <v>100</v>
      </c>
      <c r="N282" s="10" t="s">
        <v>101</v>
      </c>
      <c r="O282" s="10" t="n">
        <v>1533138630</v>
      </c>
      <c r="P282" s="10" t="s">
        <v>102</v>
      </c>
      <c r="Q282" s="10"/>
      <c r="R282" s="10"/>
      <c r="S282" s="10"/>
      <c r="T282" s="10"/>
      <c r="U282" s="10"/>
      <c r="V282" s="10" t="n">
        <v>2</v>
      </c>
      <c r="W282" s="10" t="n">
        <v>6</v>
      </c>
      <c r="X282" s="10" t="s">
        <v>71</v>
      </c>
      <c r="Y282" s="10" t="s">
        <v>72</v>
      </c>
      <c r="Z282" s="10" t="s">
        <v>103</v>
      </c>
      <c r="AA282" s="13" t="s">
        <v>104</v>
      </c>
      <c r="AB282" s="13" t="s">
        <v>75</v>
      </c>
      <c r="AC282" s="10"/>
      <c r="AD282" s="10"/>
      <c r="AE282" s="10"/>
      <c r="AF282" s="10"/>
    </row>
    <row r="283" customFormat="false" ht="15.75" hidden="false" customHeight="false" outlineLevel="0" collapsed="false">
      <c r="A283" s="11" t="n">
        <v>46127.5582494097</v>
      </c>
      <c r="B283" s="10" t="s">
        <v>105</v>
      </c>
      <c r="C283" s="10" t="s">
        <v>106</v>
      </c>
      <c r="D283" s="10" t="n">
        <v>50985250</v>
      </c>
      <c r="E283" s="10" t="s">
        <v>107</v>
      </c>
      <c r="F283" s="10" t="s">
        <v>108</v>
      </c>
      <c r="G283" s="10" t="s">
        <v>109</v>
      </c>
      <c r="H283" s="10" t="s">
        <v>110</v>
      </c>
      <c r="I283" s="10" t="s">
        <v>111</v>
      </c>
      <c r="J283" s="10" t="s">
        <v>112</v>
      </c>
      <c r="K283" s="10" t="s">
        <v>113</v>
      </c>
      <c r="L283" s="10" t="n">
        <v>1603</v>
      </c>
      <c r="M283" s="10" t="s">
        <v>114</v>
      </c>
      <c r="N283" s="10" t="s">
        <v>115</v>
      </c>
      <c r="O283" s="10" t="s">
        <v>116</v>
      </c>
      <c r="P283" s="10" t="s">
        <v>117</v>
      </c>
      <c r="Q283" s="10"/>
      <c r="R283" s="10"/>
      <c r="S283" s="10"/>
      <c r="T283" s="10"/>
      <c r="U283" s="10" t="s">
        <v>118</v>
      </c>
      <c r="V283" s="10" t="n">
        <v>3</v>
      </c>
      <c r="W283" s="10" t="n">
        <v>1</v>
      </c>
      <c r="X283" s="10" t="s">
        <v>71</v>
      </c>
      <c r="Y283" s="10" t="s">
        <v>72</v>
      </c>
      <c r="Z283" s="10" t="s">
        <v>119</v>
      </c>
      <c r="AA283" s="13" t="s">
        <v>120</v>
      </c>
      <c r="AB283" s="13" t="s">
        <v>75</v>
      </c>
      <c r="AC283" s="10"/>
      <c r="AD283" s="10"/>
      <c r="AE283" s="10"/>
      <c r="AF283" s="10"/>
    </row>
    <row r="284" customFormat="false" ht="15.75" hidden="false" customHeight="false" outlineLevel="0" collapsed="false">
      <c r="A284" s="11" t="n">
        <v>46132.4797839815</v>
      </c>
      <c r="B284" s="10" t="s">
        <v>121</v>
      </c>
      <c r="C284" s="10" t="s">
        <v>122</v>
      </c>
      <c r="D284" s="10" t="n">
        <v>49596681</v>
      </c>
      <c r="E284" s="10" t="s">
        <v>60</v>
      </c>
      <c r="F284" s="12" t="n">
        <v>40156</v>
      </c>
      <c r="G284" s="10" t="s">
        <v>123</v>
      </c>
      <c r="H284" s="10" t="s">
        <v>123</v>
      </c>
      <c r="I284" s="10" t="s">
        <v>124</v>
      </c>
      <c r="J284" s="10" t="s">
        <v>125</v>
      </c>
      <c r="K284" s="10" t="s">
        <v>126</v>
      </c>
      <c r="L284" s="10" t="s">
        <v>127</v>
      </c>
      <c r="M284" s="10" t="s">
        <v>128</v>
      </c>
      <c r="N284" s="10" t="s">
        <v>129</v>
      </c>
      <c r="O284" s="10" t="n">
        <v>1128616640</v>
      </c>
      <c r="P284" s="10" t="s">
        <v>130</v>
      </c>
      <c r="Q284" s="10"/>
      <c r="R284" s="10"/>
      <c r="S284" s="10"/>
      <c r="T284" s="10"/>
      <c r="U284" s="10" t="s">
        <v>131</v>
      </c>
      <c r="V284" s="10" t="n">
        <v>4</v>
      </c>
      <c r="W284" s="10" t="n">
        <v>1</v>
      </c>
      <c r="X284" s="10" t="s">
        <v>71</v>
      </c>
      <c r="Y284" s="10" t="s">
        <v>132</v>
      </c>
      <c r="Z284" s="10" t="s">
        <v>133</v>
      </c>
      <c r="AA284" s="13" t="s">
        <v>134</v>
      </c>
      <c r="AB284" s="13" t="s">
        <v>75</v>
      </c>
      <c r="AC284" s="10"/>
      <c r="AD284" s="10"/>
      <c r="AE284" s="10"/>
      <c r="AF284" s="10"/>
    </row>
    <row r="285" customFormat="false" ht="15.75" hidden="false" customHeight="false" outlineLevel="0" collapsed="false">
      <c r="A285" s="11" t="n">
        <v>46141.4714665509</v>
      </c>
      <c r="B285" s="10" t="s">
        <v>135</v>
      </c>
      <c r="C285" s="10" t="s">
        <v>136</v>
      </c>
      <c r="D285" s="10" t="n">
        <v>47938284</v>
      </c>
      <c r="E285" s="10" t="s">
        <v>95</v>
      </c>
      <c r="F285" s="10" t="s">
        <v>137</v>
      </c>
      <c r="G285" s="10" t="s">
        <v>138</v>
      </c>
      <c r="H285" s="10" t="s">
        <v>139</v>
      </c>
      <c r="I285" s="10" t="s">
        <v>140</v>
      </c>
      <c r="J285" s="10" t="s">
        <v>141</v>
      </c>
      <c r="K285" s="10" t="s">
        <v>142</v>
      </c>
      <c r="L285" s="10" t="n">
        <v>1650</v>
      </c>
      <c r="M285" s="10" t="s">
        <v>143</v>
      </c>
      <c r="N285" s="10" t="s">
        <v>144</v>
      </c>
      <c r="O285" s="10" t="n">
        <v>1128616640</v>
      </c>
      <c r="P285" s="10" t="s">
        <v>145</v>
      </c>
      <c r="Q285" s="10"/>
      <c r="R285" s="10"/>
      <c r="S285" s="10"/>
      <c r="T285" s="10"/>
      <c r="U285" s="10" t="s">
        <v>146</v>
      </c>
      <c r="V285" s="10" t="n">
        <v>6</v>
      </c>
      <c r="W285" s="10" t="n">
        <v>1</v>
      </c>
      <c r="X285" s="10" t="s">
        <v>71</v>
      </c>
      <c r="Y285" s="10" t="s">
        <v>132</v>
      </c>
      <c r="Z285" s="10" t="s">
        <v>147</v>
      </c>
      <c r="AA285" s="13" t="s">
        <v>148</v>
      </c>
      <c r="AB285" s="13" t="s">
        <v>75</v>
      </c>
      <c r="AC285" s="10"/>
      <c r="AD285" s="10"/>
      <c r="AE285" s="10"/>
      <c r="AF285" s="10"/>
    </row>
    <row r="286" customFormat="false" ht="15.75" hidden="false" customHeight="false" outlineLevel="0" collapsed="false">
      <c r="A286" s="11" t="n">
        <v>46134.3715880208</v>
      </c>
      <c r="B286" s="10" t="s">
        <v>88</v>
      </c>
      <c r="C286" s="10" t="s">
        <v>149</v>
      </c>
      <c r="D286" s="10" t="n">
        <v>49194880</v>
      </c>
      <c r="E286" s="10" t="s">
        <v>107</v>
      </c>
      <c r="F286" s="10" t="s">
        <v>150</v>
      </c>
      <c r="G286" s="10" t="s">
        <v>151</v>
      </c>
      <c r="H286" s="10" t="s">
        <v>98</v>
      </c>
      <c r="I286" s="10" t="s">
        <v>82</v>
      </c>
      <c r="J286" s="10" t="s">
        <v>152</v>
      </c>
      <c r="K286" s="10" t="s">
        <v>153</v>
      </c>
      <c r="L286" s="10" t="n">
        <v>1429</v>
      </c>
      <c r="M286" s="10" t="s">
        <v>154</v>
      </c>
      <c r="N286" s="10" t="s">
        <v>88</v>
      </c>
      <c r="O286" s="10" t="s">
        <v>155</v>
      </c>
      <c r="P286" s="10" t="s">
        <v>156</v>
      </c>
      <c r="Q286" s="10"/>
      <c r="R286" s="10"/>
      <c r="S286" s="10"/>
      <c r="T286" s="10"/>
      <c r="U286" s="10"/>
      <c r="V286" s="10" t="n">
        <v>5</v>
      </c>
      <c r="W286" s="10" t="n">
        <v>1</v>
      </c>
      <c r="X286" s="10" t="s">
        <v>71</v>
      </c>
      <c r="Y286" s="10" t="s">
        <v>90</v>
      </c>
      <c r="Z286" s="10" t="s">
        <v>91</v>
      </c>
      <c r="AA286" s="13" t="s">
        <v>157</v>
      </c>
      <c r="AB286" s="13" t="s">
        <v>75</v>
      </c>
      <c r="AC286" s="10"/>
      <c r="AD286" s="10"/>
      <c r="AE286" s="10"/>
      <c r="AF286" s="10"/>
    </row>
    <row r="287" customFormat="false" ht="15.75" hidden="false" customHeight="false" outlineLevel="0" collapsed="false">
      <c r="A287" s="11" t="n">
        <v>46112.4548671528</v>
      </c>
      <c r="B287" s="10" t="s">
        <v>158</v>
      </c>
      <c r="C287" s="10" t="s">
        <v>159</v>
      </c>
      <c r="D287" s="10" t="n">
        <v>52960327</v>
      </c>
      <c r="E287" s="10" t="s">
        <v>107</v>
      </c>
      <c r="F287" s="10" t="s">
        <v>160</v>
      </c>
      <c r="G287" s="10" t="s">
        <v>161</v>
      </c>
      <c r="H287" s="10" t="s">
        <v>98</v>
      </c>
      <c r="I287" s="10" t="s">
        <v>82</v>
      </c>
      <c r="J287" s="10" t="s">
        <v>162</v>
      </c>
      <c r="K287" s="10" t="s">
        <v>163</v>
      </c>
      <c r="L287" s="10" t="n">
        <v>1603</v>
      </c>
      <c r="M287" s="10" t="s">
        <v>164</v>
      </c>
      <c r="N287" s="10" t="s">
        <v>165</v>
      </c>
      <c r="O287" s="10" t="n">
        <v>1168910434</v>
      </c>
      <c r="P287" s="10" t="s">
        <v>166</v>
      </c>
      <c r="Q287" s="10"/>
      <c r="R287" s="10"/>
      <c r="S287" s="10" t="n">
        <v>1124928250</v>
      </c>
      <c r="T287" s="10"/>
      <c r="U287" s="10" t="s">
        <v>167</v>
      </c>
      <c r="V287" s="10" t="n">
        <v>1</v>
      </c>
      <c r="W287" s="10" t="n">
        <v>1</v>
      </c>
      <c r="X287" s="10" t="s">
        <v>71</v>
      </c>
      <c r="Y287" s="10" t="s">
        <v>72</v>
      </c>
      <c r="Z287" s="10" t="s">
        <v>168</v>
      </c>
      <c r="AA287" s="13" t="s">
        <v>169</v>
      </c>
      <c r="AB287" s="13" t="s">
        <v>75</v>
      </c>
      <c r="AC287" s="10"/>
      <c r="AD287" s="10"/>
      <c r="AE287" s="10"/>
      <c r="AF287" s="10"/>
    </row>
    <row r="288" customFormat="false" ht="15.75" hidden="false" customHeight="false" outlineLevel="0" collapsed="false">
      <c r="A288" s="11" t="n">
        <v>46136.6134917593</v>
      </c>
      <c r="B288" s="10" t="s">
        <v>158</v>
      </c>
      <c r="C288" s="10" t="s">
        <v>170</v>
      </c>
      <c r="D288" s="10" t="n">
        <v>51222019</v>
      </c>
      <c r="E288" s="10" t="s">
        <v>107</v>
      </c>
      <c r="F288" s="10" t="s">
        <v>171</v>
      </c>
      <c r="G288" s="10" t="s">
        <v>172</v>
      </c>
      <c r="H288" s="10" t="s">
        <v>173</v>
      </c>
      <c r="I288" s="10" t="s">
        <v>82</v>
      </c>
      <c r="J288" s="10" t="s">
        <v>174</v>
      </c>
      <c r="K288" s="10" t="s">
        <v>175</v>
      </c>
      <c r="L288" s="10" t="n">
        <v>1602</v>
      </c>
      <c r="M288" s="10" t="s">
        <v>164</v>
      </c>
      <c r="N288" s="10" t="s">
        <v>165</v>
      </c>
      <c r="O288" s="10" t="n">
        <v>1168910434</v>
      </c>
      <c r="P288" s="10" t="s">
        <v>166</v>
      </c>
      <c r="Q288" s="10"/>
      <c r="R288" s="10"/>
      <c r="S288" s="10"/>
      <c r="T288" s="10"/>
      <c r="U288" s="10"/>
      <c r="V288" s="10" t="n">
        <v>2</v>
      </c>
      <c r="W288" s="10" t="n">
        <v>6</v>
      </c>
      <c r="X288" s="10" t="s">
        <v>71</v>
      </c>
      <c r="Y288" s="10" t="s">
        <v>72</v>
      </c>
      <c r="Z288" s="10" t="s">
        <v>103</v>
      </c>
      <c r="AA288" s="13" t="s">
        <v>176</v>
      </c>
      <c r="AB288" s="13" t="s">
        <v>75</v>
      </c>
      <c r="AC288" s="10"/>
      <c r="AD288" s="10"/>
      <c r="AE288" s="10"/>
      <c r="AF288" s="10"/>
    </row>
    <row r="289" customFormat="false" ht="15.75" hidden="false" customHeight="false" outlineLevel="0" collapsed="false">
      <c r="A289" s="11" t="n">
        <v>46139.6637303009</v>
      </c>
      <c r="B289" s="10" t="s">
        <v>177</v>
      </c>
      <c r="C289" s="10" t="s">
        <v>178</v>
      </c>
      <c r="D289" s="10" t="s">
        <v>179</v>
      </c>
      <c r="E289" s="10" t="s">
        <v>107</v>
      </c>
      <c r="F289" s="10" t="s">
        <v>180</v>
      </c>
      <c r="G289" s="10" t="s">
        <v>181</v>
      </c>
      <c r="H289" s="10" t="s">
        <v>131</v>
      </c>
      <c r="I289" s="10" t="s">
        <v>182</v>
      </c>
      <c r="J289" s="10" t="s">
        <v>182</v>
      </c>
      <c r="K289" s="10" t="s">
        <v>183</v>
      </c>
      <c r="L289" s="10" t="n">
        <v>1430</v>
      </c>
      <c r="M289" s="10" t="s">
        <v>184</v>
      </c>
      <c r="N289" s="10" t="s">
        <v>185</v>
      </c>
      <c r="O289" s="10" t="s">
        <v>186</v>
      </c>
      <c r="P289" s="10" t="s">
        <v>187</v>
      </c>
      <c r="Q289" s="10"/>
      <c r="R289" s="10"/>
      <c r="S289" s="10"/>
      <c r="T289" s="10"/>
      <c r="U289" s="10"/>
      <c r="V289" s="10" t="n">
        <v>1</v>
      </c>
      <c r="W289" s="10" t="n">
        <v>7</v>
      </c>
      <c r="X289" s="10" t="s">
        <v>71</v>
      </c>
      <c r="Y289" s="10" t="s">
        <v>72</v>
      </c>
      <c r="Z289" s="10" t="s">
        <v>188</v>
      </c>
      <c r="AA289" s="13" t="s">
        <v>189</v>
      </c>
      <c r="AB289" s="13" t="s">
        <v>75</v>
      </c>
      <c r="AC289" s="10"/>
      <c r="AD289" s="10"/>
      <c r="AE289" s="10"/>
      <c r="AF289" s="10"/>
    </row>
    <row r="290" customFormat="false" ht="15.75" hidden="false" customHeight="false" outlineLevel="0" collapsed="false">
      <c r="A290" s="11" t="n">
        <v>46141.8085034607</v>
      </c>
      <c r="B290" s="10" t="s">
        <v>190</v>
      </c>
      <c r="C290" s="10" t="s">
        <v>191</v>
      </c>
      <c r="D290" s="10" t="n">
        <v>48183818</v>
      </c>
      <c r="E290" s="10" t="s">
        <v>107</v>
      </c>
      <c r="F290" s="12" t="n">
        <v>39181</v>
      </c>
      <c r="G290" s="10" t="s">
        <v>192</v>
      </c>
      <c r="H290" s="10" t="s">
        <v>192</v>
      </c>
      <c r="I290" s="10" t="s">
        <v>82</v>
      </c>
      <c r="J290" s="10" t="s">
        <v>82</v>
      </c>
      <c r="K290" s="10" t="s">
        <v>193</v>
      </c>
      <c r="L290" s="10" t="n">
        <v>1405</v>
      </c>
      <c r="M290" s="10" t="s">
        <v>194</v>
      </c>
      <c r="N290" s="10" t="s">
        <v>195</v>
      </c>
      <c r="O290" s="10" t="s">
        <v>196</v>
      </c>
      <c r="P290" s="10" t="s">
        <v>197</v>
      </c>
      <c r="Q290" s="10"/>
      <c r="R290" s="10"/>
      <c r="S290" s="10"/>
      <c r="T290" s="10"/>
      <c r="U290" s="10"/>
      <c r="V290" s="10" t="n">
        <v>6</v>
      </c>
      <c r="W290" s="10" t="n">
        <v>1</v>
      </c>
      <c r="X290" s="10" t="s">
        <v>198</v>
      </c>
      <c r="Y290" s="10" t="s">
        <v>90</v>
      </c>
      <c r="Z290" s="10" t="s">
        <v>199</v>
      </c>
      <c r="AA290" s="13" t="s">
        <v>200</v>
      </c>
      <c r="AB290" s="13" t="s">
        <v>75</v>
      </c>
      <c r="AC290" s="10"/>
      <c r="AD290" s="10"/>
      <c r="AE290" s="10"/>
      <c r="AF290" s="10"/>
    </row>
    <row r="291" customFormat="false" ht="15.75" hidden="false" customHeight="false" outlineLevel="0" collapsed="false">
      <c r="A291" s="11" t="n">
        <v>46133.6840516435</v>
      </c>
      <c r="B291" s="10" t="s">
        <v>201</v>
      </c>
      <c r="C291" s="10" t="s">
        <v>202</v>
      </c>
      <c r="D291" s="10" t="n">
        <v>48861125</v>
      </c>
      <c r="E291" s="10" t="s">
        <v>60</v>
      </c>
      <c r="F291" s="12" t="n">
        <v>39700</v>
      </c>
      <c r="G291" s="10" t="s">
        <v>203</v>
      </c>
      <c r="H291" s="10" t="s">
        <v>204</v>
      </c>
      <c r="I291" s="10" t="s">
        <v>82</v>
      </c>
      <c r="J291" s="10" t="s">
        <v>82</v>
      </c>
      <c r="K291" s="10" t="s">
        <v>205</v>
      </c>
      <c r="L291" s="10" t="n">
        <v>1430</v>
      </c>
      <c r="M291" s="10" t="s">
        <v>206</v>
      </c>
      <c r="N291" s="10" t="s">
        <v>201</v>
      </c>
      <c r="O291" s="10" t="n">
        <v>1140700088</v>
      </c>
      <c r="P291" s="10" t="s">
        <v>207</v>
      </c>
      <c r="Q291" s="10" t="s">
        <v>208</v>
      </c>
      <c r="R291" s="10" t="s">
        <v>209</v>
      </c>
      <c r="S291" s="10" t="n">
        <v>1151772057</v>
      </c>
      <c r="T291" s="10" t="s">
        <v>210</v>
      </c>
      <c r="U291" s="10"/>
      <c r="V291" s="10" t="n">
        <v>5</v>
      </c>
      <c r="W291" s="10" t="n">
        <v>1</v>
      </c>
      <c r="X291" s="10" t="s">
        <v>71</v>
      </c>
      <c r="Y291" s="10" t="s">
        <v>132</v>
      </c>
      <c r="Z291" s="10" t="s">
        <v>211</v>
      </c>
      <c r="AA291" s="13" t="s">
        <v>212</v>
      </c>
      <c r="AB291" s="13" t="s">
        <v>75</v>
      </c>
      <c r="AC291" s="10"/>
      <c r="AD291" s="10"/>
      <c r="AE291" s="10"/>
      <c r="AF291" s="10"/>
    </row>
    <row r="292" customFormat="false" ht="15.75" hidden="false" customHeight="false" outlineLevel="0" collapsed="false">
      <c r="A292" s="11" t="n">
        <v>46113.0080396065</v>
      </c>
      <c r="B292" s="10" t="s">
        <v>213</v>
      </c>
      <c r="C292" s="10" t="s">
        <v>214</v>
      </c>
      <c r="D292" s="10" t="n">
        <v>52957876</v>
      </c>
      <c r="E292" s="10" t="s">
        <v>215</v>
      </c>
      <c r="F292" s="10" t="s">
        <v>216</v>
      </c>
      <c r="G292" s="10" t="s">
        <v>217</v>
      </c>
      <c r="H292" s="10" t="s">
        <v>98</v>
      </c>
      <c r="I292" s="10" t="s">
        <v>82</v>
      </c>
      <c r="J292" s="10" t="s">
        <v>82</v>
      </c>
      <c r="K292" s="10" t="s">
        <v>82</v>
      </c>
      <c r="L292" s="10" t="n">
        <v>1234</v>
      </c>
      <c r="M292" s="10" t="s">
        <v>218</v>
      </c>
      <c r="N292" s="10" t="s">
        <v>219</v>
      </c>
      <c r="O292" s="10" t="n">
        <v>1155841003</v>
      </c>
      <c r="P292" s="10" t="s">
        <v>220</v>
      </c>
      <c r="Q292" s="10"/>
      <c r="R292" s="10"/>
      <c r="S292" s="10"/>
      <c r="T292" s="10"/>
      <c r="U292" s="10"/>
      <c r="V292" s="10" t="n">
        <v>1</v>
      </c>
      <c r="W292" s="10" t="n">
        <v>3</v>
      </c>
      <c r="X292" s="10" t="s">
        <v>71</v>
      </c>
      <c r="Y292" s="10" t="s">
        <v>72</v>
      </c>
      <c r="Z292" s="10" t="s">
        <v>221</v>
      </c>
      <c r="AA292" s="13" t="s">
        <v>222</v>
      </c>
      <c r="AB292" s="13" t="s">
        <v>75</v>
      </c>
      <c r="AC292" s="10"/>
      <c r="AD292" s="10"/>
      <c r="AE292" s="10"/>
      <c r="AF292" s="10"/>
    </row>
    <row r="293" customFormat="false" ht="15.75" hidden="false" customHeight="false" outlineLevel="0" collapsed="false">
      <c r="A293" s="11" t="n">
        <v>46125.8456486458</v>
      </c>
      <c r="B293" s="10" t="s">
        <v>223</v>
      </c>
      <c r="C293" s="10" t="s">
        <v>224</v>
      </c>
      <c r="D293" s="10" t="n">
        <v>51268274</v>
      </c>
      <c r="E293" s="10" t="s">
        <v>215</v>
      </c>
      <c r="F293" s="10" t="s">
        <v>225</v>
      </c>
      <c r="G293" s="10" t="s">
        <v>226</v>
      </c>
      <c r="H293" s="10" t="s">
        <v>227</v>
      </c>
      <c r="I293" s="10" t="s">
        <v>82</v>
      </c>
      <c r="J293" s="10" t="s">
        <v>228</v>
      </c>
      <c r="K293" s="10" t="s">
        <v>229</v>
      </c>
      <c r="L293" s="10" t="s">
        <v>229</v>
      </c>
      <c r="M293" s="10" t="s">
        <v>230</v>
      </c>
      <c r="N293" s="10" t="s">
        <v>231</v>
      </c>
      <c r="O293" s="10" t="s">
        <v>232</v>
      </c>
      <c r="P293" s="10" t="s">
        <v>233</v>
      </c>
      <c r="Q293" s="10"/>
      <c r="R293" s="10"/>
      <c r="S293" s="10" t="s">
        <v>234</v>
      </c>
      <c r="T293" s="10"/>
      <c r="U293" s="10" t="s">
        <v>235</v>
      </c>
      <c r="V293" s="10" t="n">
        <v>2</v>
      </c>
      <c r="W293" s="10" t="n">
        <v>2</v>
      </c>
      <c r="X293" s="10" t="s">
        <v>71</v>
      </c>
      <c r="Y293" s="10" t="s">
        <v>72</v>
      </c>
      <c r="Z293" s="10" t="s">
        <v>236</v>
      </c>
      <c r="AA293" s="13" t="s">
        <v>237</v>
      </c>
      <c r="AB293" s="13" t="s">
        <v>75</v>
      </c>
      <c r="AC293" s="10"/>
      <c r="AD293" s="10"/>
      <c r="AE293" s="10"/>
      <c r="AF293" s="10"/>
    </row>
    <row r="294" customFormat="false" ht="15.75" hidden="false" customHeight="false" outlineLevel="0" collapsed="false">
      <c r="A294" s="11" t="n">
        <v>46135.4461950579</v>
      </c>
      <c r="B294" s="10" t="s">
        <v>238</v>
      </c>
      <c r="C294" s="10" t="s">
        <v>239</v>
      </c>
      <c r="D294" s="10" t="n">
        <v>48639931</v>
      </c>
      <c r="E294" s="10" t="s">
        <v>60</v>
      </c>
      <c r="F294" s="10" t="s">
        <v>240</v>
      </c>
      <c r="G294" s="10" t="s">
        <v>241</v>
      </c>
      <c r="H294" s="10" t="s">
        <v>98</v>
      </c>
      <c r="I294" s="10" t="s">
        <v>242</v>
      </c>
      <c r="J294" s="10" t="s">
        <v>243</v>
      </c>
      <c r="K294" s="10" t="s">
        <v>244</v>
      </c>
      <c r="L294" s="10" t="n">
        <v>1638</v>
      </c>
      <c r="M294" s="10" t="s">
        <v>245</v>
      </c>
      <c r="N294" s="10" t="s">
        <v>246</v>
      </c>
      <c r="O294" s="10" t="e">
        <f aca="false">#error!</f>
        <v>#NAME?</v>
      </c>
      <c r="P294" s="10" t="s">
        <v>247</v>
      </c>
      <c r="Q294" s="10"/>
      <c r="R294" s="10"/>
      <c r="S294" s="10"/>
      <c r="T294" s="10"/>
      <c r="U294" s="10"/>
      <c r="V294" s="10" t="n">
        <v>6</v>
      </c>
      <c r="W294" s="10" t="n">
        <v>1</v>
      </c>
      <c r="X294" s="10" t="s">
        <v>71</v>
      </c>
      <c r="Y294" s="10" t="s">
        <v>90</v>
      </c>
      <c r="Z294" s="10" t="s">
        <v>248</v>
      </c>
      <c r="AA294" s="13" t="s">
        <v>249</v>
      </c>
      <c r="AB294" s="13" t="s">
        <v>75</v>
      </c>
      <c r="AC294" s="10"/>
      <c r="AD294" s="10"/>
      <c r="AE294" s="10"/>
      <c r="AF294" s="10"/>
    </row>
    <row r="295" customFormat="false" ht="15.75" hidden="false" customHeight="false" outlineLevel="0" collapsed="false">
      <c r="A295" s="11" t="n">
        <v>46128.4513905324</v>
      </c>
      <c r="B295" s="10" t="s">
        <v>250</v>
      </c>
      <c r="C295" s="10" t="s">
        <v>251</v>
      </c>
      <c r="D295" s="10" t="s">
        <v>252</v>
      </c>
      <c r="E295" s="10" t="s">
        <v>215</v>
      </c>
      <c r="F295" s="10" t="s">
        <v>253</v>
      </c>
      <c r="G295" s="10" t="s">
        <v>254</v>
      </c>
      <c r="H295" s="10" t="s">
        <v>255</v>
      </c>
      <c r="I295" s="10" t="s">
        <v>256</v>
      </c>
      <c r="J295" s="10" t="s">
        <v>82</v>
      </c>
      <c r="K295" s="10" t="s">
        <v>229</v>
      </c>
      <c r="L295" s="10" t="s">
        <v>229</v>
      </c>
      <c r="M295" s="10" t="s">
        <v>257</v>
      </c>
      <c r="N295" s="10" t="s">
        <v>258</v>
      </c>
      <c r="O295" s="10" t="s">
        <v>259</v>
      </c>
      <c r="P295" s="10" t="s">
        <v>260</v>
      </c>
      <c r="Q295" s="10"/>
      <c r="R295" s="10"/>
      <c r="S295" s="10" t="s">
        <v>261</v>
      </c>
      <c r="T295" s="10"/>
      <c r="U295" s="10"/>
      <c r="V295" s="10" t="n">
        <v>2</v>
      </c>
      <c r="W295" s="10" t="n">
        <v>2</v>
      </c>
      <c r="X295" s="10" t="s">
        <v>71</v>
      </c>
      <c r="Y295" s="10" t="s">
        <v>72</v>
      </c>
      <c r="Z295" s="10" t="s">
        <v>236</v>
      </c>
      <c r="AA295" s="13" t="s">
        <v>262</v>
      </c>
      <c r="AB295" s="13" t="s">
        <v>75</v>
      </c>
      <c r="AC295" s="10"/>
      <c r="AD295" s="10"/>
      <c r="AE295" s="10"/>
      <c r="AF295" s="10"/>
    </row>
    <row r="296" customFormat="false" ht="15.75" hidden="false" customHeight="false" outlineLevel="0" collapsed="false">
      <c r="A296" s="11" t="n">
        <v>46140.4020739352</v>
      </c>
      <c r="B296" s="10" t="s">
        <v>263</v>
      </c>
      <c r="C296" s="10" t="s">
        <v>264</v>
      </c>
      <c r="D296" s="10" t="n">
        <v>50436047</v>
      </c>
      <c r="E296" s="10" t="s">
        <v>107</v>
      </c>
      <c r="F296" s="10" t="s">
        <v>265</v>
      </c>
      <c r="G296" s="10" t="s">
        <v>266</v>
      </c>
      <c r="H296" s="10" t="s">
        <v>98</v>
      </c>
      <c r="I296" s="10" t="s">
        <v>82</v>
      </c>
      <c r="J296" s="10" t="s">
        <v>152</v>
      </c>
      <c r="K296" s="10" t="s">
        <v>267</v>
      </c>
      <c r="L296" s="10" t="n">
        <v>1430</v>
      </c>
      <c r="M296" s="10" t="s">
        <v>268</v>
      </c>
      <c r="N296" s="10" t="s">
        <v>269</v>
      </c>
      <c r="O296" s="10" t="n">
        <v>1168542306</v>
      </c>
      <c r="P296" s="10" t="s">
        <v>270</v>
      </c>
      <c r="Q296" s="10"/>
      <c r="R296" s="10"/>
      <c r="S296" s="10"/>
      <c r="T296" s="10"/>
      <c r="U296" s="10"/>
      <c r="V296" s="10" t="n">
        <v>3</v>
      </c>
      <c r="W296" s="10" t="n">
        <v>1</v>
      </c>
      <c r="X296" s="10" t="s">
        <v>71</v>
      </c>
      <c r="Y296" s="10" t="s">
        <v>72</v>
      </c>
      <c r="Z296" s="10" t="s">
        <v>271</v>
      </c>
      <c r="AA296" s="13" t="s">
        <v>272</v>
      </c>
      <c r="AB296" s="13" t="s">
        <v>75</v>
      </c>
      <c r="AC296" s="10"/>
      <c r="AD296" s="10"/>
      <c r="AE296" s="10"/>
      <c r="AF296" s="10"/>
    </row>
    <row r="297" customFormat="false" ht="15.75" hidden="false" customHeight="false" outlineLevel="0" collapsed="false">
      <c r="A297" s="11" t="n">
        <v>46133.6027922454</v>
      </c>
      <c r="B297" s="10" t="s">
        <v>273</v>
      </c>
      <c r="C297" s="10" t="s">
        <v>274</v>
      </c>
      <c r="D297" s="10" t="n">
        <v>50298171</v>
      </c>
      <c r="E297" s="10" t="s">
        <v>215</v>
      </c>
      <c r="F297" s="10" t="s">
        <v>275</v>
      </c>
      <c r="G297" s="10" t="s">
        <v>276</v>
      </c>
      <c r="H297" s="10" t="s">
        <v>277</v>
      </c>
      <c r="I297" s="10" t="s">
        <v>278</v>
      </c>
      <c r="J297" s="10" t="s">
        <v>279</v>
      </c>
      <c r="K297" s="10" t="s">
        <v>280</v>
      </c>
      <c r="L297" s="10" t="n">
        <v>4480</v>
      </c>
      <c r="M297" s="10" t="s">
        <v>281</v>
      </c>
      <c r="N297" s="10" t="s">
        <v>282</v>
      </c>
      <c r="O297" s="10" t="s">
        <v>283</v>
      </c>
      <c r="P297" s="10" t="s">
        <v>284</v>
      </c>
      <c r="Q297" s="10" t="s">
        <v>285</v>
      </c>
      <c r="R297" s="10" t="s">
        <v>286</v>
      </c>
      <c r="S297" s="10" t="s">
        <v>287</v>
      </c>
      <c r="T297" s="10" t="s">
        <v>288</v>
      </c>
      <c r="U297" s="10"/>
      <c r="V297" s="10" t="n">
        <v>3</v>
      </c>
      <c r="W297" s="10" t="n">
        <v>3</v>
      </c>
      <c r="X297" s="10" t="s">
        <v>71</v>
      </c>
      <c r="Y297" s="10" t="s">
        <v>72</v>
      </c>
      <c r="Z297" s="10" t="s">
        <v>289</v>
      </c>
      <c r="AA297" s="13" t="s">
        <v>290</v>
      </c>
      <c r="AB297" s="13" t="s">
        <v>75</v>
      </c>
      <c r="AC297" s="10"/>
      <c r="AD297" s="10"/>
      <c r="AE297" s="10"/>
      <c r="AF297" s="10"/>
    </row>
    <row r="298" customFormat="false" ht="15.75" hidden="false" customHeight="false" outlineLevel="0" collapsed="false">
      <c r="A298" s="11" t="n">
        <v>46140.4521924537</v>
      </c>
      <c r="B298" s="10" t="s">
        <v>291</v>
      </c>
      <c r="C298" s="10" t="s">
        <v>292</v>
      </c>
      <c r="D298" s="10" t="n">
        <v>51265432</v>
      </c>
      <c r="E298" s="10" t="s">
        <v>293</v>
      </c>
      <c r="F298" s="10" t="s">
        <v>294</v>
      </c>
      <c r="G298" s="10" t="s">
        <v>295</v>
      </c>
      <c r="H298" s="10" t="s">
        <v>296</v>
      </c>
      <c r="I298" s="10" t="s">
        <v>82</v>
      </c>
      <c r="J298" s="10" t="s">
        <v>297</v>
      </c>
      <c r="K298" s="10" t="s">
        <v>298</v>
      </c>
      <c r="L298" s="10" t="n">
        <v>1431</v>
      </c>
      <c r="M298" s="10" t="s">
        <v>299</v>
      </c>
      <c r="N298" s="10" t="s">
        <v>300</v>
      </c>
      <c r="O298" s="10" t="s">
        <v>301</v>
      </c>
      <c r="P298" s="10" t="s">
        <v>302</v>
      </c>
      <c r="Q298" s="10" t="s">
        <v>303</v>
      </c>
      <c r="R298" s="10" t="s">
        <v>304</v>
      </c>
      <c r="S298" s="10" t="s">
        <v>305</v>
      </c>
      <c r="T298" s="10" t="s">
        <v>306</v>
      </c>
      <c r="U298" s="10" t="s">
        <v>307</v>
      </c>
      <c r="V298" s="10" t="n">
        <v>3</v>
      </c>
      <c r="W298" s="10" t="n">
        <v>3</v>
      </c>
      <c r="X298" s="10" t="s">
        <v>71</v>
      </c>
      <c r="Y298" s="10" t="s">
        <v>72</v>
      </c>
      <c r="Z298" s="10" t="s">
        <v>308</v>
      </c>
      <c r="AA298" s="13" t="s">
        <v>309</v>
      </c>
      <c r="AB298" s="13" t="s">
        <v>75</v>
      </c>
      <c r="AC298" s="10"/>
      <c r="AD298" s="10"/>
      <c r="AE298" s="10"/>
      <c r="AF298" s="10"/>
    </row>
    <row r="299" customFormat="false" ht="15.75" hidden="false" customHeight="false" outlineLevel="0" collapsed="false">
      <c r="A299" s="11" t="n">
        <v>46133.6774081019</v>
      </c>
      <c r="B299" s="10" t="s">
        <v>310</v>
      </c>
      <c r="C299" s="10" t="s">
        <v>311</v>
      </c>
      <c r="D299" s="10" t="n">
        <v>49434195</v>
      </c>
      <c r="E299" s="10" t="s">
        <v>215</v>
      </c>
      <c r="F299" s="10" t="s">
        <v>312</v>
      </c>
      <c r="G299" s="10" t="s">
        <v>313</v>
      </c>
      <c r="H299" s="10" t="s">
        <v>314</v>
      </c>
      <c r="I299" s="10" t="s">
        <v>82</v>
      </c>
      <c r="J299" s="10" t="s">
        <v>64</v>
      </c>
      <c r="K299" s="10" t="s">
        <v>315</v>
      </c>
      <c r="L299" s="10" t="n">
        <v>1431</v>
      </c>
      <c r="M299" s="10" t="s">
        <v>316</v>
      </c>
      <c r="N299" s="10" t="s">
        <v>317</v>
      </c>
      <c r="O299" s="10" t="e">
        <f aca="false">#error!</f>
        <v>#NAME?</v>
      </c>
      <c r="P299" s="10" t="s">
        <v>302</v>
      </c>
      <c r="Q299" s="10" t="s">
        <v>318</v>
      </c>
      <c r="R299" s="10" t="s">
        <v>310</v>
      </c>
      <c r="S299" s="10" t="e">
        <f aca="false">#error!</f>
        <v>#NAME?</v>
      </c>
      <c r="T299" s="10" t="s">
        <v>306</v>
      </c>
      <c r="U299" s="10"/>
      <c r="V299" s="10" t="n">
        <v>5</v>
      </c>
      <c r="W299" s="10" t="n">
        <v>1</v>
      </c>
      <c r="X299" s="10" t="s">
        <v>71</v>
      </c>
      <c r="Y299" s="10" t="s">
        <v>90</v>
      </c>
      <c r="Z299" s="10" t="s">
        <v>319</v>
      </c>
      <c r="AA299" s="13" t="s">
        <v>320</v>
      </c>
      <c r="AB299" s="13" t="s">
        <v>75</v>
      </c>
      <c r="AC299" s="10"/>
      <c r="AD299" s="10"/>
      <c r="AE299" s="10"/>
      <c r="AF299" s="10"/>
    </row>
    <row r="300" customFormat="false" ht="15.75" hidden="false" customHeight="false" outlineLevel="0" collapsed="false">
      <c r="A300" s="11" t="n">
        <v>46113.4788240625</v>
      </c>
      <c r="B300" s="10" t="s">
        <v>321</v>
      </c>
      <c r="C300" s="10" t="s">
        <v>322</v>
      </c>
      <c r="D300" s="10" t="n">
        <v>52772771</v>
      </c>
      <c r="E300" s="10" t="s">
        <v>323</v>
      </c>
      <c r="F300" s="10" t="s">
        <v>324</v>
      </c>
      <c r="G300" s="10" t="s">
        <v>325</v>
      </c>
      <c r="H300" s="10" t="s">
        <v>326</v>
      </c>
      <c r="I300" s="10" t="s">
        <v>323</v>
      </c>
      <c r="J300" s="10" t="s">
        <v>323</v>
      </c>
      <c r="K300" s="10" t="s">
        <v>323</v>
      </c>
      <c r="L300" s="10" t="s">
        <v>323</v>
      </c>
      <c r="M300" s="10" t="s">
        <v>327</v>
      </c>
      <c r="N300" s="10" t="s">
        <v>328</v>
      </c>
      <c r="O300" s="10" t="s">
        <v>323</v>
      </c>
      <c r="P300" s="10" t="s">
        <v>323</v>
      </c>
      <c r="Q300" s="10"/>
      <c r="R300" s="10"/>
      <c r="S300" s="10"/>
      <c r="T300" s="10"/>
      <c r="U300" s="10"/>
      <c r="V300" s="10" t="n">
        <v>2</v>
      </c>
      <c r="W300" s="10" t="n">
        <v>1</v>
      </c>
      <c r="X300" s="10" t="s">
        <v>71</v>
      </c>
      <c r="Y300" s="10" t="s">
        <v>72</v>
      </c>
      <c r="Z300" s="10" t="s">
        <v>329</v>
      </c>
      <c r="AA300" s="13" t="s">
        <v>330</v>
      </c>
      <c r="AB300" s="13" t="s">
        <v>75</v>
      </c>
      <c r="AC300" s="10"/>
      <c r="AD300" s="10"/>
      <c r="AE300" s="10"/>
      <c r="AF300" s="10"/>
    </row>
    <row r="301" customFormat="false" ht="15.75" hidden="false" customHeight="false" outlineLevel="0" collapsed="false">
      <c r="A301" s="11" t="n">
        <v>46126.6941147222</v>
      </c>
      <c r="B301" s="10" t="s">
        <v>331</v>
      </c>
      <c r="C301" s="10" t="s">
        <v>332</v>
      </c>
      <c r="D301" s="10" t="n">
        <v>52162966</v>
      </c>
      <c r="E301" s="10" t="s">
        <v>333</v>
      </c>
      <c r="F301" s="12" t="n">
        <v>41093</v>
      </c>
      <c r="G301" s="10" t="s">
        <v>334</v>
      </c>
      <c r="H301" s="10" t="s">
        <v>334</v>
      </c>
      <c r="I301" s="10" t="s">
        <v>335</v>
      </c>
      <c r="J301" s="10" t="s">
        <v>336</v>
      </c>
      <c r="K301" s="10" t="s">
        <v>337</v>
      </c>
      <c r="L301" s="10" t="s">
        <v>338</v>
      </c>
      <c r="M301" s="10" t="s">
        <v>339</v>
      </c>
      <c r="N301" s="10" t="s">
        <v>340</v>
      </c>
      <c r="O301" s="10" t="n">
        <v>1564819146</v>
      </c>
      <c r="P301" s="10" t="s">
        <v>338</v>
      </c>
      <c r="Q301" s="10"/>
      <c r="R301" s="10"/>
      <c r="S301" s="10"/>
      <c r="T301" s="10"/>
      <c r="U301" s="10"/>
      <c r="V301" s="10" t="n">
        <v>2</v>
      </c>
      <c r="W301" s="10" t="n">
        <v>4</v>
      </c>
      <c r="X301" s="10" t="s">
        <v>71</v>
      </c>
      <c r="Y301" s="10" t="s">
        <v>72</v>
      </c>
      <c r="Z301" s="10" t="s">
        <v>341</v>
      </c>
      <c r="AA301" s="13" t="s">
        <v>342</v>
      </c>
      <c r="AB301" s="13" t="s">
        <v>75</v>
      </c>
      <c r="AC301" s="10"/>
      <c r="AD301" s="10"/>
      <c r="AE301" s="10"/>
      <c r="AF301" s="10"/>
    </row>
    <row r="302" customFormat="false" ht="15.75" hidden="false" customHeight="false" outlineLevel="0" collapsed="false">
      <c r="A302" s="11" t="n">
        <v>46128.4566659259</v>
      </c>
      <c r="B302" s="10" t="s">
        <v>343</v>
      </c>
      <c r="C302" s="10" t="s">
        <v>344</v>
      </c>
      <c r="D302" s="10" t="n">
        <v>50701523</v>
      </c>
      <c r="E302" s="10" t="s">
        <v>107</v>
      </c>
      <c r="F302" s="12" t="n">
        <v>40369</v>
      </c>
      <c r="G302" s="10" t="s">
        <v>345</v>
      </c>
      <c r="H302" s="10" t="s">
        <v>346</v>
      </c>
      <c r="I302" s="10" t="s">
        <v>347</v>
      </c>
      <c r="J302" s="10" t="s">
        <v>348</v>
      </c>
      <c r="K302" s="10" t="s">
        <v>349</v>
      </c>
      <c r="L302" s="10" t="n">
        <v>1602</v>
      </c>
      <c r="M302" s="10" t="s">
        <v>350</v>
      </c>
      <c r="N302" s="10" t="s">
        <v>343</v>
      </c>
      <c r="O302" s="10" t="s">
        <v>351</v>
      </c>
      <c r="P302" s="10" t="s">
        <v>352</v>
      </c>
      <c r="Q302" s="10"/>
      <c r="R302" s="10"/>
      <c r="S302" s="10"/>
      <c r="T302" s="10"/>
      <c r="U302" s="10" t="s">
        <v>167</v>
      </c>
      <c r="V302" s="10" t="n">
        <v>3</v>
      </c>
      <c r="W302" s="10" t="n">
        <v>3</v>
      </c>
      <c r="X302" s="10" t="s">
        <v>71</v>
      </c>
      <c r="Y302" s="10" t="s">
        <v>72</v>
      </c>
      <c r="Z302" s="10" t="s">
        <v>308</v>
      </c>
      <c r="AA302" s="13" t="s">
        <v>353</v>
      </c>
      <c r="AB302" s="13" t="s">
        <v>75</v>
      </c>
      <c r="AC302" s="10"/>
      <c r="AD302" s="10"/>
      <c r="AE302" s="10"/>
      <c r="AF302" s="10"/>
    </row>
    <row r="303" customFormat="false" ht="15.75" hidden="false" customHeight="false" outlineLevel="0" collapsed="false">
      <c r="A303" s="11" t="n">
        <v>46128.4712703241</v>
      </c>
      <c r="B303" s="10" t="s">
        <v>354</v>
      </c>
      <c r="C303" s="10" t="s">
        <v>355</v>
      </c>
      <c r="D303" s="10" t="n">
        <v>50906804</v>
      </c>
      <c r="E303" s="10" t="s">
        <v>356</v>
      </c>
      <c r="F303" s="10" t="s">
        <v>357</v>
      </c>
      <c r="G303" s="10" t="s">
        <v>358</v>
      </c>
      <c r="H303" s="10" t="s">
        <v>358</v>
      </c>
      <c r="I303" s="10" t="s">
        <v>82</v>
      </c>
      <c r="J303" s="10" t="s">
        <v>359</v>
      </c>
      <c r="K303" s="10" t="s">
        <v>360</v>
      </c>
      <c r="L303" s="10" t="n">
        <v>1428</v>
      </c>
      <c r="M303" s="10" t="s">
        <v>361</v>
      </c>
      <c r="N303" s="10" t="s">
        <v>362</v>
      </c>
      <c r="O303" s="10" t="n">
        <v>1140897128</v>
      </c>
      <c r="P303" s="10" t="s">
        <v>363</v>
      </c>
      <c r="Q303" s="10"/>
      <c r="R303" s="10"/>
      <c r="S303" s="10"/>
      <c r="T303" s="10"/>
      <c r="U303" s="10"/>
      <c r="V303" s="10" t="n">
        <v>3</v>
      </c>
      <c r="W303" s="10" t="n">
        <v>3</v>
      </c>
      <c r="X303" s="10" t="s">
        <v>71</v>
      </c>
      <c r="Y303" s="10" t="s">
        <v>72</v>
      </c>
      <c r="Z303" s="10" t="s">
        <v>308</v>
      </c>
      <c r="AA303" s="13" t="s">
        <v>364</v>
      </c>
      <c r="AB303" s="13" t="s">
        <v>75</v>
      </c>
      <c r="AC303" s="10"/>
      <c r="AD303" s="10"/>
      <c r="AE303" s="10"/>
      <c r="AF303" s="10"/>
    </row>
    <row r="304" customFormat="false" ht="15.75" hidden="false" customHeight="false" outlineLevel="0" collapsed="false">
      <c r="A304" s="11" t="n">
        <v>46135.4510026157</v>
      </c>
      <c r="B304" s="10" t="s">
        <v>354</v>
      </c>
      <c r="C304" s="10" t="s">
        <v>365</v>
      </c>
      <c r="D304" s="10" t="n">
        <v>49092416</v>
      </c>
      <c r="E304" s="10" t="s">
        <v>366</v>
      </c>
      <c r="F304" s="10" t="s">
        <v>367</v>
      </c>
      <c r="G304" s="10" t="s">
        <v>368</v>
      </c>
      <c r="H304" s="10" t="s">
        <v>369</v>
      </c>
      <c r="I304" s="10" t="s">
        <v>370</v>
      </c>
      <c r="J304" s="10" t="s">
        <v>371</v>
      </c>
      <c r="K304" s="10" t="s">
        <v>372</v>
      </c>
      <c r="L304" s="10" t="n">
        <v>1428</v>
      </c>
      <c r="M304" s="10" t="s">
        <v>373</v>
      </c>
      <c r="N304" s="10" t="s">
        <v>362</v>
      </c>
      <c r="O304" s="10" t="e">
        <f aca="false">#error!</f>
        <v>#NAME?</v>
      </c>
      <c r="P304" s="10" t="s">
        <v>374</v>
      </c>
      <c r="Q304" s="10"/>
      <c r="R304" s="10"/>
      <c r="S304" s="10"/>
      <c r="T304" s="10"/>
      <c r="U304" s="10"/>
      <c r="V304" s="10" t="n">
        <v>5</v>
      </c>
      <c r="W304" s="10" t="n">
        <v>1</v>
      </c>
      <c r="X304" s="10" t="s">
        <v>71</v>
      </c>
      <c r="Y304" s="10" t="s">
        <v>90</v>
      </c>
      <c r="Z304" s="10" t="s">
        <v>319</v>
      </c>
      <c r="AA304" s="13" t="s">
        <v>375</v>
      </c>
      <c r="AB304" s="13" t="s">
        <v>75</v>
      </c>
      <c r="AC304" s="10"/>
      <c r="AD304" s="10"/>
      <c r="AE304" s="10"/>
      <c r="AF304" s="10"/>
    </row>
    <row r="305" customFormat="false" ht="15.75" hidden="false" customHeight="false" outlineLevel="0" collapsed="false">
      <c r="A305" s="11" t="n">
        <v>46132.8205649653</v>
      </c>
      <c r="B305" s="10" t="s">
        <v>376</v>
      </c>
      <c r="C305" s="10" t="s">
        <v>377</v>
      </c>
      <c r="D305" s="10" t="n">
        <v>28992763</v>
      </c>
      <c r="E305" s="10" t="s">
        <v>215</v>
      </c>
      <c r="F305" s="10" t="s">
        <v>378</v>
      </c>
      <c r="G305" s="10" t="s">
        <v>379</v>
      </c>
      <c r="H305" s="10" t="s">
        <v>380</v>
      </c>
      <c r="I305" s="10" t="s">
        <v>63</v>
      </c>
      <c r="J305" s="10" t="s">
        <v>63</v>
      </c>
      <c r="K305" s="10" t="s">
        <v>381</v>
      </c>
      <c r="L305" s="10" t="n">
        <v>1430</v>
      </c>
      <c r="M305" s="10" t="s">
        <v>382</v>
      </c>
      <c r="N305" s="10" t="s">
        <v>376</v>
      </c>
      <c r="O305" s="10" t="n">
        <v>1130189621</v>
      </c>
      <c r="P305" s="10" t="s">
        <v>380</v>
      </c>
      <c r="Q305" s="10"/>
      <c r="R305" s="10"/>
      <c r="S305" s="10"/>
      <c r="T305" s="10"/>
      <c r="U305" s="10"/>
      <c r="V305" s="10" t="n">
        <v>2</v>
      </c>
      <c r="W305" s="10" t="n">
        <v>5</v>
      </c>
      <c r="X305" s="10" t="s">
        <v>198</v>
      </c>
      <c r="Y305" s="10" t="s">
        <v>72</v>
      </c>
      <c r="Z305" s="10" t="s">
        <v>383</v>
      </c>
      <c r="AA305" s="13" t="s">
        <v>384</v>
      </c>
      <c r="AB305" s="13" t="s">
        <v>75</v>
      </c>
      <c r="AC305" s="10"/>
      <c r="AD305" s="10"/>
      <c r="AE305" s="10"/>
      <c r="AF305" s="10"/>
    </row>
    <row r="306" customFormat="false" ht="15.75" hidden="false" customHeight="false" outlineLevel="0" collapsed="false">
      <c r="A306" s="11" t="n">
        <v>46113.4568893982</v>
      </c>
      <c r="B306" s="10" t="s">
        <v>376</v>
      </c>
      <c r="C306" s="10" t="s">
        <v>385</v>
      </c>
      <c r="D306" s="10" t="n">
        <v>53245973</v>
      </c>
      <c r="E306" s="10" t="s">
        <v>62</v>
      </c>
      <c r="F306" s="12" t="n">
        <v>41311</v>
      </c>
      <c r="G306" s="10" t="s">
        <v>386</v>
      </c>
      <c r="H306" s="10" t="s">
        <v>62</v>
      </c>
      <c r="I306" s="10" t="s">
        <v>82</v>
      </c>
      <c r="J306" s="10" t="s">
        <v>62</v>
      </c>
      <c r="K306" s="10" t="s">
        <v>62</v>
      </c>
      <c r="L306" s="10" t="s">
        <v>62</v>
      </c>
      <c r="M306" s="10" t="s">
        <v>62</v>
      </c>
      <c r="N306" s="10" t="s">
        <v>62</v>
      </c>
      <c r="O306" s="10" t="s">
        <v>387</v>
      </c>
      <c r="P306" s="10" t="s">
        <v>388</v>
      </c>
      <c r="Q306" s="10" t="s">
        <v>62</v>
      </c>
      <c r="R306" s="10" t="s">
        <v>62</v>
      </c>
      <c r="S306" s="10" t="s">
        <v>389</v>
      </c>
      <c r="T306" s="10" t="s">
        <v>62</v>
      </c>
      <c r="U306" s="10" t="s">
        <v>62</v>
      </c>
      <c r="V306" s="10" t="n">
        <v>1</v>
      </c>
      <c r="W306" s="10" t="n">
        <v>2</v>
      </c>
      <c r="X306" s="10" t="s">
        <v>71</v>
      </c>
      <c r="Y306" s="10" t="s">
        <v>72</v>
      </c>
      <c r="Z306" s="10" t="s">
        <v>329</v>
      </c>
      <c r="AA306" s="13" t="s">
        <v>390</v>
      </c>
      <c r="AB306" s="13" t="s">
        <v>75</v>
      </c>
      <c r="AC306" s="10"/>
      <c r="AD306" s="10"/>
      <c r="AE306" s="10"/>
      <c r="AF306" s="10"/>
    </row>
    <row r="307" customFormat="false" ht="15.75" hidden="false" customHeight="false" outlineLevel="0" collapsed="false">
      <c r="A307" s="11" t="n">
        <v>46120.4947471412</v>
      </c>
      <c r="B307" s="10" t="s">
        <v>376</v>
      </c>
      <c r="C307" s="10" t="s">
        <v>391</v>
      </c>
      <c r="D307" s="10" t="n">
        <v>52168111</v>
      </c>
      <c r="E307" s="10" t="s">
        <v>60</v>
      </c>
      <c r="F307" s="10" t="s">
        <v>392</v>
      </c>
      <c r="G307" s="10" t="s">
        <v>393</v>
      </c>
      <c r="H307" s="10" t="s">
        <v>393</v>
      </c>
      <c r="I307" s="10" t="s">
        <v>394</v>
      </c>
      <c r="J307" s="10" t="s">
        <v>395</v>
      </c>
      <c r="K307" s="10" t="s">
        <v>396</v>
      </c>
      <c r="L307" s="10" t="s">
        <v>397</v>
      </c>
      <c r="M307" s="10" t="s">
        <v>398</v>
      </c>
      <c r="N307" s="10" t="s">
        <v>399</v>
      </c>
      <c r="O307" s="10" t="n">
        <v>1125351131</v>
      </c>
      <c r="P307" s="10" t="s">
        <v>400</v>
      </c>
      <c r="Q307" s="10" t="s">
        <v>401</v>
      </c>
      <c r="R307" s="10" t="s">
        <v>402</v>
      </c>
      <c r="S307" s="10" t="n">
        <v>1127371245</v>
      </c>
      <c r="T307" s="10" t="s">
        <v>403</v>
      </c>
      <c r="U307" s="10"/>
      <c r="V307" s="10" t="n">
        <v>2</v>
      </c>
      <c r="W307" s="10" t="n">
        <v>6</v>
      </c>
      <c r="X307" s="10" t="s">
        <v>71</v>
      </c>
      <c r="Y307" s="10" t="s">
        <v>72</v>
      </c>
      <c r="Z307" s="10" t="s">
        <v>404</v>
      </c>
      <c r="AA307" s="13" t="s">
        <v>405</v>
      </c>
      <c r="AB307" s="13" t="s">
        <v>75</v>
      </c>
      <c r="AC307" s="10"/>
      <c r="AD307" s="10"/>
      <c r="AE307" s="10"/>
      <c r="AF307" s="10"/>
    </row>
    <row r="308" customFormat="false" ht="15.75" hidden="false" customHeight="false" outlineLevel="0" collapsed="false">
      <c r="A308" s="11" t="n">
        <v>46135.4240975347</v>
      </c>
      <c r="B308" s="10" t="s">
        <v>406</v>
      </c>
      <c r="C308" s="10" t="s">
        <v>407</v>
      </c>
      <c r="D308" s="10" t="n">
        <v>49434522</v>
      </c>
      <c r="E308" s="10" t="s">
        <v>107</v>
      </c>
      <c r="F308" s="12" t="n">
        <v>39936</v>
      </c>
      <c r="G308" s="10" t="s">
        <v>408</v>
      </c>
      <c r="H308" s="10" t="s">
        <v>409</v>
      </c>
      <c r="I308" s="10" t="s">
        <v>82</v>
      </c>
      <c r="J308" s="10" t="s">
        <v>410</v>
      </c>
      <c r="K308" s="10" t="s">
        <v>411</v>
      </c>
      <c r="L308" s="10" t="n">
        <v>1430</v>
      </c>
      <c r="M308" s="10" t="s">
        <v>412</v>
      </c>
      <c r="N308" s="10" t="s">
        <v>406</v>
      </c>
      <c r="O308" s="10" t="e">
        <f aca="false">#error!</f>
        <v>#NAME?</v>
      </c>
      <c r="P308" s="10" t="s">
        <v>413</v>
      </c>
      <c r="Q308" s="10" t="s">
        <v>414</v>
      </c>
      <c r="R308" s="10" t="s">
        <v>415</v>
      </c>
      <c r="S308" s="10" t="e">
        <f aca="false">#error!</f>
        <v>#NAME?</v>
      </c>
      <c r="T308" s="10" t="s">
        <v>416</v>
      </c>
      <c r="U308" s="10"/>
      <c r="V308" s="10" t="n">
        <v>5</v>
      </c>
      <c r="W308" s="10" t="n">
        <v>1</v>
      </c>
      <c r="X308" s="10" t="s">
        <v>71</v>
      </c>
      <c r="Y308" s="10" t="s">
        <v>90</v>
      </c>
      <c r="Z308" s="10" t="s">
        <v>319</v>
      </c>
      <c r="AA308" s="13" t="s">
        <v>417</v>
      </c>
      <c r="AB308" s="13" t="s">
        <v>75</v>
      </c>
      <c r="AC308" s="10"/>
      <c r="AD308" s="10"/>
      <c r="AE308" s="10"/>
      <c r="AF308" s="10"/>
    </row>
    <row r="309" customFormat="false" ht="15.75" hidden="false" customHeight="false" outlineLevel="0" collapsed="false">
      <c r="A309" s="11" t="n">
        <v>46113.5250950579</v>
      </c>
      <c r="B309" s="10" t="s">
        <v>418</v>
      </c>
      <c r="C309" s="10" t="s">
        <v>419</v>
      </c>
      <c r="D309" s="10" t="n">
        <v>52166202</v>
      </c>
      <c r="E309" s="10" t="s">
        <v>323</v>
      </c>
      <c r="F309" s="10" t="s">
        <v>420</v>
      </c>
      <c r="G309" s="10" t="s">
        <v>421</v>
      </c>
      <c r="H309" s="10" t="s">
        <v>422</v>
      </c>
      <c r="I309" s="10" t="s">
        <v>323</v>
      </c>
      <c r="J309" s="10" t="s">
        <v>323</v>
      </c>
      <c r="K309" s="10" t="s">
        <v>323</v>
      </c>
      <c r="L309" s="10" t="s">
        <v>323</v>
      </c>
      <c r="M309" s="10" t="s">
        <v>327</v>
      </c>
      <c r="N309" s="10" t="s">
        <v>328</v>
      </c>
      <c r="O309" s="10" t="s">
        <v>323</v>
      </c>
      <c r="P309" s="10" t="s">
        <v>323</v>
      </c>
      <c r="Q309" s="10"/>
      <c r="R309" s="10"/>
      <c r="S309" s="10"/>
      <c r="T309" s="10"/>
      <c r="U309" s="10"/>
      <c r="V309" s="10" t="n">
        <v>2</v>
      </c>
      <c r="W309" s="10" t="n">
        <v>1</v>
      </c>
      <c r="X309" s="10" t="s">
        <v>71</v>
      </c>
      <c r="Y309" s="10" t="s">
        <v>72</v>
      </c>
      <c r="Z309" s="10" t="s">
        <v>329</v>
      </c>
      <c r="AA309" s="13" t="s">
        <v>423</v>
      </c>
      <c r="AB309" s="13" t="s">
        <v>75</v>
      </c>
      <c r="AC309" s="10"/>
      <c r="AD309" s="10"/>
      <c r="AE309" s="10"/>
      <c r="AF309" s="10"/>
    </row>
    <row r="310" customFormat="false" ht="15.75" hidden="false" customHeight="false" outlineLevel="0" collapsed="false">
      <c r="A310" s="11" t="n">
        <v>46113.7670233796</v>
      </c>
      <c r="B310" s="10" t="s">
        <v>424</v>
      </c>
      <c r="C310" s="10" t="s">
        <v>425</v>
      </c>
      <c r="D310" s="10" t="n">
        <v>52142509</v>
      </c>
      <c r="E310" s="10" t="s">
        <v>60</v>
      </c>
      <c r="F310" s="12" t="n">
        <v>41062</v>
      </c>
      <c r="G310" s="10" t="s">
        <v>426</v>
      </c>
      <c r="H310" s="10" t="s">
        <v>427</v>
      </c>
      <c r="I310" s="10" t="s">
        <v>82</v>
      </c>
      <c r="J310" s="10" t="s">
        <v>82</v>
      </c>
      <c r="K310" s="10" t="s">
        <v>428</v>
      </c>
      <c r="L310" s="10" t="n">
        <v>1430</v>
      </c>
      <c r="M310" s="10" t="s">
        <v>429</v>
      </c>
      <c r="N310" s="10" t="s">
        <v>430</v>
      </c>
      <c r="O310" s="10" t="s">
        <v>323</v>
      </c>
      <c r="P310" s="10" t="s">
        <v>323</v>
      </c>
      <c r="Q310" s="10"/>
      <c r="R310" s="10"/>
      <c r="S310" s="10"/>
      <c r="T310" s="10"/>
      <c r="U310" s="10"/>
      <c r="V310" s="10" t="n">
        <v>2</v>
      </c>
      <c r="W310" s="10" t="n">
        <v>1</v>
      </c>
      <c r="X310" s="10" t="s">
        <v>71</v>
      </c>
      <c r="Y310" s="10" t="s">
        <v>72</v>
      </c>
      <c r="Z310" s="10" t="s">
        <v>431</v>
      </c>
      <c r="AA310" s="13" t="s">
        <v>432</v>
      </c>
      <c r="AB310" s="13" t="s">
        <v>75</v>
      </c>
      <c r="AC310" s="10"/>
      <c r="AD310" s="10"/>
      <c r="AE310" s="10"/>
      <c r="AF310" s="10"/>
    </row>
    <row r="311" customFormat="false" ht="15.75" hidden="false" customHeight="false" outlineLevel="0" collapsed="false">
      <c r="A311" s="11" t="n">
        <v>46132.458031875</v>
      </c>
      <c r="B311" s="10" t="s">
        <v>424</v>
      </c>
      <c r="C311" s="10" t="s">
        <v>202</v>
      </c>
      <c r="D311" s="10" t="n">
        <v>50257564</v>
      </c>
      <c r="E311" s="10" t="s">
        <v>60</v>
      </c>
      <c r="F311" s="10" t="s">
        <v>433</v>
      </c>
      <c r="G311" s="10" t="s">
        <v>434</v>
      </c>
      <c r="H311" s="10" t="s">
        <v>435</v>
      </c>
      <c r="I311" s="10" t="s">
        <v>82</v>
      </c>
      <c r="J311" s="10" t="s">
        <v>436</v>
      </c>
      <c r="K311" s="10" t="s">
        <v>428</v>
      </c>
      <c r="L311" s="10" t="n">
        <v>1430</v>
      </c>
      <c r="M311" s="10" t="s">
        <v>437</v>
      </c>
      <c r="N311" s="10" t="s">
        <v>438</v>
      </c>
      <c r="O311" s="10" t="e">
        <f aca="false">#error!</f>
        <v>#NAME?</v>
      </c>
      <c r="P311" s="10" t="s">
        <v>439</v>
      </c>
      <c r="Q311" s="10" t="s">
        <v>440</v>
      </c>
      <c r="R311" s="10" t="s">
        <v>441</v>
      </c>
      <c r="S311" s="10" t="e">
        <f aca="false">#error!</f>
        <v>#NAME?</v>
      </c>
      <c r="T311" s="10" t="s">
        <v>442</v>
      </c>
      <c r="U311" s="10" t="s">
        <v>131</v>
      </c>
      <c r="V311" s="10" t="n">
        <v>4</v>
      </c>
      <c r="W311" s="10" t="n">
        <v>1</v>
      </c>
      <c r="X311" s="10" t="s">
        <v>71</v>
      </c>
      <c r="Y311" s="10" t="s">
        <v>132</v>
      </c>
      <c r="Z311" s="10" t="s">
        <v>443</v>
      </c>
      <c r="AA311" s="13" t="s">
        <v>444</v>
      </c>
      <c r="AB311" s="13" t="s">
        <v>75</v>
      </c>
      <c r="AC311" s="10"/>
      <c r="AD311" s="10"/>
      <c r="AE311" s="10"/>
      <c r="AF311" s="10"/>
    </row>
    <row r="312" customFormat="false" ht="15.75" hidden="false" customHeight="false" outlineLevel="0" collapsed="false">
      <c r="A312" s="11" t="n">
        <v>46119.6903861111</v>
      </c>
      <c r="B312" s="10" t="s">
        <v>445</v>
      </c>
      <c r="C312" s="10" t="s">
        <v>446</v>
      </c>
      <c r="D312" s="10" t="n">
        <v>52924767</v>
      </c>
      <c r="E312" s="10" t="s">
        <v>107</v>
      </c>
      <c r="F312" s="12" t="n">
        <v>41396</v>
      </c>
      <c r="G312" s="10" t="s">
        <v>447</v>
      </c>
      <c r="H312" s="13" t="s">
        <v>448</v>
      </c>
      <c r="I312" s="10" t="s">
        <v>449</v>
      </c>
      <c r="J312" s="10" t="s">
        <v>450</v>
      </c>
      <c r="K312" s="10" t="s">
        <v>450</v>
      </c>
      <c r="L312" s="10" t="n">
        <v>1430</v>
      </c>
      <c r="M312" s="10" t="s">
        <v>451</v>
      </c>
      <c r="N312" s="10" t="s">
        <v>452</v>
      </c>
      <c r="O312" s="10" t="n">
        <v>1132655156</v>
      </c>
      <c r="P312" s="10" t="s">
        <v>453</v>
      </c>
      <c r="Q312" s="10"/>
      <c r="R312" s="10"/>
      <c r="S312" s="10"/>
      <c r="T312" s="10"/>
      <c r="U312" s="10"/>
      <c r="V312" s="10" t="n">
        <v>1</v>
      </c>
      <c r="W312" s="10" t="n">
        <v>4</v>
      </c>
      <c r="X312" s="10" t="s">
        <v>71</v>
      </c>
      <c r="Y312" s="10" t="s">
        <v>72</v>
      </c>
      <c r="Z312" s="10" t="s">
        <v>454</v>
      </c>
      <c r="AA312" s="13" t="s">
        <v>455</v>
      </c>
      <c r="AB312" s="13" t="s">
        <v>75</v>
      </c>
      <c r="AC312" s="10"/>
      <c r="AD312" s="10"/>
      <c r="AE312" s="10"/>
      <c r="AF312" s="10"/>
    </row>
    <row r="313" customFormat="false" ht="15.75" hidden="false" customHeight="false" outlineLevel="0" collapsed="false">
      <c r="A313" s="11" t="n">
        <v>46133.6901963194</v>
      </c>
      <c r="B313" s="10" t="s">
        <v>456</v>
      </c>
      <c r="C313" s="10" t="s">
        <v>457</v>
      </c>
      <c r="D313" s="10" t="n">
        <v>49121655</v>
      </c>
      <c r="E313" s="10" t="s">
        <v>107</v>
      </c>
      <c r="F313" s="16" t="n">
        <v>39720</v>
      </c>
      <c r="G313" s="10" t="s">
        <v>458</v>
      </c>
      <c r="H313" s="10" t="s">
        <v>459</v>
      </c>
      <c r="I313" s="10" t="s">
        <v>82</v>
      </c>
      <c r="J313" s="10" t="s">
        <v>82</v>
      </c>
      <c r="K313" s="10" t="s">
        <v>460</v>
      </c>
      <c r="L313" s="10" t="n">
        <v>1419</v>
      </c>
      <c r="M313" s="10" t="s">
        <v>461</v>
      </c>
      <c r="N313" s="10" t="s">
        <v>462</v>
      </c>
      <c r="O313" s="10" t="n">
        <v>1539477967</v>
      </c>
      <c r="P313" s="10" t="s">
        <v>463</v>
      </c>
      <c r="Q313" s="10"/>
      <c r="R313" s="10"/>
      <c r="S313" s="10"/>
      <c r="T313" s="10"/>
      <c r="U313" s="10"/>
      <c r="V313" s="10" t="n">
        <v>5</v>
      </c>
      <c r="W313" s="10" t="n">
        <v>1</v>
      </c>
      <c r="X313" s="10" t="s">
        <v>71</v>
      </c>
      <c r="Y313" s="10" t="s">
        <v>132</v>
      </c>
      <c r="Z313" s="10" t="s">
        <v>464</v>
      </c>
      <c r="AA313" s="13" t="s">
        <v>465</v>
      </c>
      <c r="AB313" s="13" t="s">
        <v>466</v>
      </c>
      <c r="AC313" s="10"/>
      <c r="AD313" s="10"/>
      <c r="AE313" s="10"/>
      <c r="AF313" s="10"/>
    </row>
    <row r="314" customFormat="false" ht="15.75" hidden="false" customHeight="false" outlineLevel="0" collapsed="false">
      <c r="A314" s="11" t="n">
        <v>46113.9042166898</v>
      </c>
      <c r="B314" s="10" t="s">
        <v>467</v>
      </c>
      <c r="C314" s="10" t="s">
        <v>468</v>
      </c>
      <c r="D314" s="10" t="n">
        <v>52761367</v>
      </c>
      <c r="E314" s="10" t="s">
        <v>469</v>
      </c>
      <c r="F314" s="12" t="n">
        <v>41223</v>
      </c>
      <c r="G314" s="10" t="s">
        <v>470</v>
      </c>
      <c r="H314" s="10" t="s">
        <v>471</v>
      </c>
      <c r="I314" s="10" t="s">
        <v>82</v>
      </c>
      <c r="J314" s="10" t="s">
        <v>472</v>
      </c>
      <c r="K314" s="10" t="s">
        <v>473</v>
      </c>
      <c r="L314" s="10" t="n">
        <v>1414</v>
      </c>
      <c r="M314" s="10" t="s">
        <v>474</v>
      </c>
      <c r="N314" s="10" t="s">
        <v>475</v>
      </c>
      <c r="O314" s="10" t="n">
        <v>1163367578</v>
      </c>
      <c r="P314" s="10" t="s">
        <v>476</v>
      </c>
      <c r="Q314" s="10" t="s">
        <v>477</v>
      </c>
      <c r="R314" s="10" t="s">
        <v>478</v>
      </c>
      <c r="S314" s="10" t="s">
        <v>479</v>
      </c>
      <c r="T314" s="10" t="s">
        <v>480</v>
      </c>
      <c r="U314" s="10" t="s">
        <v>481</v>
      </c>
      <c r="V314" s="10" t="n">
        <v>1</v>
      </c>
      <c r="W314" s="10" t="n">
        <v>1</v>
      </c>
      <c r="X314" s="10" t="s">
        <v>71</v>
      </c>
      <c r="Y314" s="10" t="s">
        <v>72</v>
      </c>
      <c r="Z314" s="10" t="s">
        <v>289</v>
      </c>
      <c r="AA314" s="13" t="s">
        <v>482</v>
      </c>
      <c r="AB314" s="13" t="s">
        <v>75</v>
      </c>
      <c r="AC314" s="10"/>
      <c r="AD314" s="10"/>
      <c r="AE314" s="10"/>
      <c r="AF314" s="10"/>
    </row>
    <row r="315" customFormat="false" ht="15.75" hidden="false" customHeight="false" outlineLevel="0" collapsed="false">
      <c r="A315" s="11" t="n">
        <v>46132.6727654398</v>
      </c>
      <c r="B315" s="10" t="s">
        <v>483</v>
      </c>
      <c r="C315" s="10" t="s">
        <v>484</v>
      </c>
      <c r="D315" s="10" t="n">
        <v>52193112</v>
      </c>
      <c r="E315" s="10" t="s">
        <v>293</v>
      </c>
      <c r="F315" s="12" t="n">
        <v>41154</v>
      </c>
      <c r="G315" s="10" t="s">
        <v>485</v>
      </c>
      <c r="H315" s="10" t="s">
        <v>486</v>
      </c>
      <c r="I315" s="10" t="s">
        <v>82</v>
      </c>
      <c r="J315" s="10" t="s">
        <v>82</v>
      </c>
      <c r="K315" s="10" t="s">
        <v>486</v>
      </c>
      <c r="L315" s="10" t="s">
        <v>486</v>
      </c>
      <c r="M315" s="10" t="s">
        <v>487</v>
      </c>
      <c r="N315" s="10" t="s">
        <v>488</v>
      </c>
      <c r="O315" s="10" t="n">
        <v>1133702709</v>
      </c>
      <c r="P315" s="10" t="s">
        <v>489</v>
      </c>
      <c r="Q315" s="10"/>
      <c r="R315" s="10"/>
      <c r="S315" s="10"/>
      <c r="T315" s="10"/>
      <c r="U315" s="10"/>
      <c r="V315" s="10" t="n">
        <v>2</v>
      </c>
      <c r="W315" s="10" t="n">
        <v>2</v>
      </c>
      <c r="X315" s="10" t="s">
        <v>71</v>
      </c>
      <c r="Y315" s="10" t="s">
        <v>72</v>
      </c>
      <c r="Z315" s="10" t="s">
        <v>168</v>
      </c>
      <c r="AA315" s="13" t="s">
        <v>490</v>
      </c>
      <c r="AB315" s="13" t="s">
        <v>75</v>
      </c>
      <c r="AC315" s="10"/>
      <c r="AD315" s="10"/>
      <c r="AE315" s="10"/>
      <c r="AF315" s="10"/>
    </row>
    <row r="316" customFormat="false" ht="15.75" hidden="false" customHeight="false" outlineLevel="0" collapsed="false">
      <c r="A316" s="11" t="n">
        <v>46113.4639203125</v>
      </c>
      <c r="B316" s="10" t="s">
        <v>491</v>
      </c>
      <c r="C316" s="10" t="s">
        <v>492</v>
      </c>
      <c r="D316" s="10" t="n">
        <v>53088780</v>
      </c>
      <c r="E316" s="10" t="s">
        <v>107</v>
      </c>
      <c r="F316" s="12" t="n">
        <v>41458</v>
      </c>
      <c r="G316" s="10" t="s">
        <v>493</v>
      </c>
      <c r="H316" s="10" t="s">
        <v>62</v>
      </c>
      <c r="I316" s="10" t="s">
        <v>494</v>
      </c>
      <c r="J316" s="10" t="s">
        <v>495</v>
      </c>
      <c r="K316" s="10" t="s">
        <v>496</v>
      </c>
      <c r="L316" s="10" t="n">
        <v>1419</v>
      </c>
      <c r="M316" s="10" t="s">
        <v>497</v>
      </c>
      <c r="N316" s="10" t="s">
        <v>498</v>
      </c>
      <c r="O316" s="10" t="n">
        <v>1136479247</v>
      </c>
      <c r="P316" s="10" t="s">
        <v>499</v>
      </c>
      <c r="Q316" s="10" t="s">
        <v>500</v>
      </c>
      <c r="R316" s="10" t="s">
        <v>501</v>
      </c>
      <c r="S316" s="10" t="e">
        <f aca="false">#error!</f>
        <v>#NAME?</v>
      </c>
      <c r="T316" s="10" t="s">
        <v>502</v>
      </c>
      <c r="U316" s="10" t="s">
        <v>62</v>
      </c>
      <c r="V316" s="10" t="n">
        <v>1</v>
      </c>
      <c r="W316" s="10" t="n">
        <v>2</v>
      </c>
      <c r="X316" s="10" t="s">
        <v>71</v>
      </c>
      <c r="Y316" s="10" t="s">
        <v>72</v>
      </c>
      <c r="Z316" s="10" t="s">
        <v>329</v>
      </c>
      <c r="AA316" s="13" t="s">
        <v>503</v>
      </c>
      <c r="AB316" s="13" t="s">
        <v>504</v>
      </c>
      <c r="AC316" s="10"/>
      <c r="AD316" s="10"/>
      <c r="AE316" s="10"/>
      <c r="AF316" s="10"/>
    </row>
    <row r="317" customFormat="false" ht="15.75" hidden="false" customHeight="false" outlineLevel="0" collapsed="false">
      <c r="A317" s="11" t="n">
        <v>46129.3994847685</v>
      </c>
      <c r="B317" s="10" t="s">
        <v>505</v>
      </c>
      <c r="C317" s="10" t="s">
        <v>506</v>
      </c>
      <c r="D317" s="10" t="n">
        <v>49553084</v>
      </c>
      <c r="E317" s="10" t="s">
        <v>107</v>
      </c>
      <c r="F317" s="10" t="s">
        <v>507</v>
      </c>
      <c r="G317" s="10" t="s">
        <v>508</v>
      </c>
      <c r="H317" s="10" t="s">
        <v>98</v>
      </c>
      <c r="I317" s="10" t="s">
        <v>82</v>
      </c>
      <c r="J317" s="10" t="s">
        <v>509</v>
      </c>
      <c r="K317" s="10" t="s">
        <v>510</v>
      </c>
      <c r="L317" s="10" t="n">
        <v>1430</v>
      </c>
      <c r="M317" s="10" t="s">
        <v>511</v>
      </c>
      <c r="N317" s="10" t="s">
        <v>512</v>
      </c>
      <c r="O317" s="10" t="s">
        <v>513</v>
      </c>
      <c r="P317" s="10" t="s">
        <v>514</v>
      </c>
      <c r="Q317" s="10" t="s">
        <v>515</v>
      </c>
      <c r="R317" s="10" t="s">
        <v>505</v>
      </c>
      <c r="S317" s="10" t="s">
        <v>516</v>
      </c>
      <c r="T317" s="10" t="s">
        <v>517</v>
      </c>
      <c r="U317" s="10" t="s">
        <v>518</v>
      </c>
      <c r="V317" s="10" t="n">
        <v>3</v>
      </c>
      <c r="W317" s="10" t="n">
        <v>3</v>
      </c>
      <c r="X317" s="10" t="s">
        <v>71</v>
      </c>
      <c r="Y317" s="10" t="s">
        <v>72</v>
      </c>
      <c r="Z317" s="10" t="s">
        <v>319</v>
      </c>
      <c r="AA317" s="13" t="s">
        <v>519</v>
      </c>
      <c r="AB317" s="13" t="s">
        <v>504</v>
      </c>
      <c r="AC317" s="10"/>
      <c r="AD317" s="10"/>
      <c r="AE317" s="10"/>
      <c r="AF317" s="10"/>
    </row>
    <row r="318" customFormat="false" ht="15.75" hidden="false" customHeight="false" outlineLevel="0" collapsed="false">
      <c r="A318" s="11" t="n">
        <v>46139.6742328009</v>
      </c>
      <c r="B318" s="10" t="s">
        <v>520</v>
      </c>
      <c r="C318" s="10" t="s">
        <v>521</v>
      </c>
      <c r="D318" s="10" t="n">
        <v>53237214</v>
      </c>
      <c r="E318" s="10" t="s">
        <v>293</v>
      </c>
      <c r="F318" s="10" t="s">
        <v>522</v>
      </c>
      <c r="G318" s="10" t="s">
        <v>523</v>
      </c>
      <c r="H318" s="10" t="s">
        <v>131</v>
      </c>
      <c r="I318" s="10" t="s">
        <v>63</v>
      </c>
      <c r="J318" s="10" t="s">
        <v>63</v>
      </c>
      <c r="K318" s="10" t="s">
        <v>63</v>
      </c>
      <c r="L318" s="10" t="n">
        <v>1430</v>
      </c>
      <c r="M318" s="10" t="s">
        <v>524</v>
      </c>
      <c r="N318" s="10" t="s">
        <v>525</v>
      </c>
      <c r="O318" s="10" t="n">
        <v>1150081166</v>
      </c>
      <c r="P318" s="10" t="s">
        <v>526</v>
      </c>
      <c r="Q318" s="10"/>
      <c r="R318" s="10"/>
      <c r="S318" s="10"/>
      <c r="T318" s="10"/>
      <c r="U318" s="10"/>
      <c r="V318" s="10" t="n">
        <v>1</v>
      </c>
      <c r="W318" s="10" t="n">
        <v>7</v>
      </c>
      <c r="X318" s="10" t="s">
        <v>71</v>
      </c>
      <c r="Y318" s="10" t="s">
        <v>72</v>
      </c>
      <c r="Z318" s="10" t="s">
        <v>188</v>
      </c>
      <c r="AA318" s="13" t="s">
        <v>527</v>
      </c>
      <c r="AB318" s="13" t="s">
        <v>504</v>
      </c>
      <c r="AC318" s="10"/>
      <c r="AD318" s="10"/>
      <c r="AE318" s="10"/>
      <c r="AF318" s="10"/>
    </row>
    <row r="319" customFormat="false" ht="15.75" hidden="false" customHeight="false" outlineLevel="0" collapsed="false">
      <c r="A319" s="11" t="n">
        <v>46120.4511928125</v>
      </c>
      <c r="B319" s="10" t="s">
        <v>528</v>
      </c>
      <c r="C319" s="10" t="s">
        <v>529</v>
      </c>
      <c r="D319" s="10" t="n">
        <v>51433389</v>
      </c>
      <c r="E319" s="10" t="s">
        <v>60</v>
      </c>
      <c r="F319" s="10" t="s">
        <v>530</v>
      </c>
      <c r="G319" s="10" t="s">
        <v>531</v>
      </c>
      <c r="H319" s="10" t="s">
        <v>532</v>
      </c>
      <c r="I319" s="10" t="s">
        <v>82</v>
      </c>
      <c r="J319" s="10" t="s">
        <v>82</v>
      </c>
      <c r="K319" s="10" t="s">
        <v>533</v>
      </c>
      <c r="L319" s="10" t="s">
        <v>534</v>
      </c>
      <c r="M319" s="10" t="s">
        <v>535</v>
      </c>
      <c r="N319" s="10" t="s">
        <v>536</v>
      </c>
      <c r="O319" s="10" t="n">
        <v>1130276512</v>
      </c>
      <c r="P319" s="10" t="s">
        <v>537</v>
      </c>
      <c r="Q319" s="10" t="s">
        <v>538</v>
      </c>
      <c r="R319" s="10"/>
      <c r="S319" s="10" t="n">
        <v>1132439792</v>
      </c>
      <c r="T319" s="10"/>
      <c r="U319" s="10" t="s">
        <v>539</v>
      </c>
      <c r="V319" s="10" t="n">
        <v>2</v>
      </c>
      <c r="W319" s="10" t="n">
        <v>6</v>
      </c>
      <c r="X319" s="10" t="s">
        <v>71</v>
      </c>
      <c r="Y319" s="10" t="s">
        <v>72</v>
      </c>
      <c r="Z319" s="10" t="s">
        <v>404</v>
      </c>
      <c r="AA319" s="13" t="s">
        <v>540</v>
      </c>
      <c r="AB319" s="13" t="s">
        <v>504</v>
      </c>
      <c r="AC319" s="10"/>
      <c r="AD319" s="10"/>
      <c r="AE319" s="10"/>
      <c r="AF319" s="10"/>
    </row>
    <row r="320" customFormat="false" ht="15.75" hidden="false" customHeight="false" outlineLevel="0" collapsed="false">
      <c r="A320" s="11" t="n">
        <v>46127.421176088</v>
      </c>
      <c r="B320" s="10" t="s">
        <v>541</v>
      </c>
      <c r="C320" s="10" t="s">
        <v>542</v>
      </c>
      <c r="D320" s="10" t="n">
        <v>50512054</v>
      </c>
      <c r="E320" s="10" t="s">
        <v>107</v>
      </c>
      <c r="F320" s="10" t="s">
        <v>543</v>
      </c>
      <c r="G320" s="10" t="s">
        <v>544</v>
      </c>
      <c r="H320" s="10" t="s">
        <v>545</v>
      </c>
      <c r="I320" s="10" t="s">
        <v>546</v>
      </c>
      <c r="J320" s="10" t="s">
        <v>547</v>
      </c>
      <c r="K320" s="10" t="s">
        <v>548</v>
      </c>
      <c r="L320" s="10" t="n">
        <v>1650</v>
      </c>
      <c r="M320" s="10" t="s">
        <v>549</v>
      </c>
      <c r="N320" s="10" t="s">
        <v>528</v>
      </c>
      <c r="O320" s="10" t="n">
        <v>1141417922</v>
      </c>
      <c r="P320" s="10" t="s">
        <v>550</v>
      </c>
      <c r="Q320" s="10" t="s">
        <v>551</v>
      </c>
      <c r="R320" s="10" t="s">
        <v>552</v>
      </c>
      <c r="S320" s="10" t="n">
        <v>1165947922</v>
      </c>
      <c r="T320" s="10" t="s">
        <v>553</v>
      </c>
      <c r="U320" s="10"/>
      <c r="V320" s="10" t="n">
        <v>3</v>
      </c>
      <c r="W320" s="10" t="n">
        <v>1</v>
      </c>
      <c r="X320" s="10" t="s">
        <v>71</v>
      </c>
      <c r="Y320" s="10" t="s">
        <v>72</v>
      </c>
      <c r="Z320" s="10" t="s">
        <v>119</v>
      </c>
      <c r="AA320" s="13" t="s">
        <v>554</v>
      </c>
      <c r="AB320" s="13" t="s">
        <v>504</v>
      </c>
      <c r="AC320" s="10"/>
      <c r="AD320" s="10"/>
      <c r="AE320" s="10"/>
      <c r="AF320" s="10"/>
    </row>
    <row r="321" customFormat="false" ht="15.75" hidden="false" customHeight="false" outlineLevel="0" collapsed="false">
      <c r="A321" s="11" t="n">
        <v>46133.6766688426</v>
      </c>
      <c r="B321" s="10" t="s">
        <v>541</v>
      </c>
      <c r="C321" s="10" t="s">
        <v>555</v>
      </c>
      <c r="D321" s="10" t="n">
        <v>48801746</v>
      </c>
      <c r="E321" s="10" t="s">
        <v>215</v>
      </c>
      <c r="F321" s="12" t="n">
        <v>39514</v>
      </c>
      <c r="G321" s="10" t="s">
        <v>556</v>
      </c>
      <c r="H321" s="10" t="s">
        <v>556</v>
      </c>
      <c r="I321" s="10" t="s">
        <v>557</v>
      </c>
      <c r="J321" s="10" t="s">
        <v>558</v>
      </c>
      <c r="K321" s="10" t="s">
        <v>559</v>
      </c>
      <c r="L321" s="10" t="n">
        <v>1650</v>
      </c>
      <c r="M321" s="10" t="s">
        <v>560</v>
      </c>
      <c r="N321" s="10" t="s">
        <v>528</v>
      </c>
      <c r="O321" s="10" t="n">
        <v>1141417922</v>
      </c>
      <c r="P321" s="10" t="s">
        <v>561</v>
      </c>
      <c r="Q321" s="10" t="s">
        <v>562</v>
      </c>
      <c r="R321" s="10" t="s">
        <v>552</v>
      </c>
      <c r="S321" s="10" t="n">
        <v>1165947922</v>
      </c>
      <c r="T321" s="10" t="s">
        <v>563</v>
      </c>
      <c r="U321" s="10"/>
      <c r="V321" s="10" t="n">
        <v>5</v>
      </c>
      <c r="W321" s="10" t="n">
        <v>1</v>
      </c>
      <c r="X321" s="10" t="s">
        <v>71</v>
      </c>
      <c r="Y321" s="10" t="s">
        <v>132</v>
      </c>
      <c r="Z321" s="10" t="s">
        <v>564</v>
      </c>
      <c r="AA321" s="13" t="s">
        <v>565</v>
      </c>
      <c r="AB321" s="13" t="s">
        <v>504</v>
      </c>
      <c r="AC321" s="10"/>
      <c r="AD321" s="10"/>
      <c r="AE321" s="10"/>
      <c r="AF321" s="10"/>
    </row>
    <row r="322" customFormat="false" ht="15.75" hidden="false" customHeight="false" outlineLevel="0" collapsed="false">
      <c r="A322" s="11" t="n">
        <v>46133.6809334607</v>
      </c>
      <c r="B322" s="10" t="s">
        <v>566</v>
      </c>
      <c r="C322" s="10" t="s">
        <v>567</v>
      </c>
      <c r="D322" s="10" t="n">
        <v>49190135</v>
      </c>
      <c r="E322" s="10" t="s">
        <v>60</v>
      </c>
      <c r="F322" s="10" t="s">
        <v>568</v>
      </c>
      <c r="G322" s="10" t="s">
        <v>569</v>
      </c>
      <c r="H322" s="10" t="s">
        <v>569</v>
      </c>
      <c r="I322" s="10" t="s">
        <v>82</v>
      </c>
      <c r="J322" s="10" t="s">
        <v>570</v>
      </c>
      <c r="K322" s="10" t="s">
        <v>571</v>
      </c>
      <c r="L322" s="10" t="n">
        <v>1429</v>
      </c>
      <c r="M322" s="10" t="s">
        <v>572</v>
      </c>
      <c r="N322" s="10" t="s">
        <v>573</v>
      </c>
      <c r="O322" s="10" t="n">
        <v>1144068734</v>
      </c>
      <c r="P322" s="10" t="s">
        <v>574</v>
      </c>
      <c r="Q322" s="10"/>
      <c r="R322" s="10"/>
      <c r="S322" s="10"/>
      <c r="T322" s="10"/>
      <c r="U322" s="10"/>
      <c r="V322" s="10" t="n">
        <v>5</v>
      </c>
      <c r="W322" s="10" t="n">
        <v>1</v>
      </c>
      <c r="X322" s="10" t="s">
        <v>71</v>
      </c>
      <c r="Y322" s="10" t="s">
        <v>132</v>
      </c>
      <c r="Z322" s="10" t="s">
        <v>341</v>
      </c>
      <c r="AA322" s="13" t="s">
        <v>575</v>
      </c>
      <c r="AB322" s="13" t="s">
        <v>504</v>
      </c>
      <c r="AC322" s="10"/>
      <c r="AD322" s="10"/>
      <c r="AE322" s="10"/>
      <c r="AF322" s="10"/>
    </row>
    <row r="323" customFormat="false" ht="15.75" hidden="false" customHeight="false" outlineLevel="0" collapsed="false">
      <c r="A323" s="11" t="n">
        <v>46132.8249938657</v>
      </c>
      <c r="B323" s="10" t="s">
        <v>576</v>
      </c>
      <c r="C323" s="10" t="s">
        <v>577</v>
      </c>
      <c r="D323" s="10" t="n">
        <v>49699136</v>
      </c>
      <c r="E323" s="10" t="s">
        <v>107</v>
      </c>
      <c r="F323" s="10" t="s">
        <v>578</v>
      </c>
      <c r="G323" s="10" t="s">
        <v>579</v>
      </c>
      <c r="H323" s="10" t="s">
        <v>580</v>
      </c>
      <c r="I323" s="10" t="s">
        <v>63</v>
      </c>
      <c r="J323" s="10" t="s">
        <v>63</v>
      </c>
      <c r="K323" s="10" t="s">
        <v>581</v>
      </c>
      <c r="L323" s="10" t="n">
        <v>1428</v>
      </c>
      <c r="M323" s="10" t="s">
        <v>582</v>
      </c>
      <c r="N323" s="10" t="s">
        <v>583</v>
      </c>
      <c r="O323" s="10" t="n">
        <v>1169557676</v>
      </c>
      <c r="P323" s="10" t="s">
        <v>584</v>
      </c>
      <c r="Q323" s="10"/>
      <c r="R323" s="10"/>
      <c r="S323" s="10"/>
      <c r="T323" s="10"/>
      <c r="U323" s="10"/>
      <c r="V323" s="10" t="n">
        <v>2</v>
      </c>
      <c r="W323" s="10" t="n">
        <v>5</v>
      </c>
      <c r="X323" s="10" t="s">
        <v>198</v>
      </c>
      <c r="Y323" s="10" t="s">
        <v>72</v>
      </c>
      <c r="Z323" s="10" t="s">
        <v>383</v>
      </c>
      <c r="AA323" s="13" t="s">
        <v>585</v>
      </c>
      <c r="AB323" s="13" t="s">
        <v>504</v>
      </c>
      <c r="AC323" s="10"/>
      <c r="AD323" s="10"/>
      <c r="AE323" s="10"/>
      <c r="AF323" s="10"/>
    </row>
    <row r="324" customFormat="false" ht="15.75" hidden="false" customHeight="false" outlineLevel="0" collapsed="false">
      <c r="A324" s="11" t="n">
        <v>46135.4304412616</v>
      </c>
      <c r="B324" s="10" t="s">
        <v>586</v>
      </c>
      <c r="C324" s="10" t="s">
        <v>587</v>
      </c>
      <c r="D324" s="10" t="n">
        <v>48674391</v>
      </c>
      <c r="E324" s="10" t="s">
        <v>107</v>
      </c>
      <c r="F324" s="10" t="s">
        <v>588</v>
      </c>
      <c r="G324" s="10" t="s">
        <v>589</v>
      </c>
      <c r="H324" s="13" t="s">
        <v>590</v>
      </c>
      <c r="I324" s="10" t="s">
        <v>591</v>
      </c>
      <c r="J324" s="10" t="s">
        <v>82</v>
      </c>
      <c r="K324" s="10" t="s">
        <v>592</v>
      </c>
      <c r="L324" s="10" t="n">
        <v>1419</v>
      </c>
      <c r="M324" s="10" t="s">
        <v>587</v>
      </c>
      <c r="N324" s="10" t="s">
        <v>586</v>
      </c>
      <c r="O324" s="10" t="n">
        <v>1131977567</v>
      </c>
      <c r="P324" s="10" t="s">
        <v>593</v>
      </c>
      <c r="Q324" s="10"/>
      <c r="R324" s="10"/>
      <c r="S324" s="10"/>
      <c r="T324" s="10"/>
      <c r="U324" s="10" t="s">
        <v>594</v>
      </c>
      <c r="V324" s="10" t="n">
        <v>6</v>
      </c>
      <c r="W324" s="10" t="n">
        <v>1</v>
      </c>
      <c r="X324" s="10" t="s">
        <v>71</v>
      </c>
      <c r="Y324" s="10" t="s">
        <v>90</v>
      </c>
      <c r="Z324" s="10" t="s">
        <v>248</v>
      </c>
      <c r="AA324" s="13" t="s">
        <v>595</v>
      </c>
      <c r="AB324" s="13" t="s">
        <v>596</v>
      </c>
      <c r="AC324" s="10"/>
      <c r="AD324" s="10"/>
      <c r="AE324" s="10"/>
      <c r="AF324" s="10"/>
    </row>
    <row r="325" customFormat="false" ht="15.75" hidden="false" customHeight="false" outlineLevel="0" collapsed="false">
      <c r="A325" s="11" t="n">
        <v>46129.4519958102</v>
      </c>
      <c r="B325" s="10" t="s">
        <v>597</v>
      </c>
      <c r="C325" s="10" t="s">
        <v>598</v>
      </c>
      <c r="D325" s="10" t="n">
        <v>49926517</v>
      </c>
      <c r="E325" s="10" t="s">
        <v>215</v>
      </c>
      <c r="F325" s="12" t="n">
        <v>39975</v>
      </c>
      <c r="G325" s="10" t="s">
        <v>599</v>
      </c>
      <c r="H325" s="10" t="s">
        <v>98</v>
      </c>
      <c r="I325" s="10" t="s">
        <v>242</v>
      </c>
      <c r="J325" s="10" t="s">
        <v>600</v>
      </c>
      <c r="K325" s="10" t="s">
        <v>601</v>
      </c>
      <c r="L325" s="10" t="n">
        <v>1603</v>
      </c>
      <c r="M325" s="10" t="s">
        <v>602</v>
      </c>
      <c r="N325" s="10" t="s">
        <v>603</v>
      </c>
      <c r="O325" s="10" t="s">
        <v>604</v>
      </c>
      <c r="P325" s="10" t="s">
        <v>605</v>
      </c>
      <c r="Q325" s="10" t="s">
        <v>606</v>
      </c>
      <c r="R325" s="10" t="s">
        <v>597</v>
      </c>
      <c r="S325" s="10" t="s">
        <v>607</v>
      </c>
      <c r="T325" s="10" t="s">
        <v>608</v>
      </c>
      <c r="U325" s="10" t="s">
        <v>609</v>
      </c>
      <c r="V325" s="10" t="n">
        <v>4</v>
      </c>
      <c r="W325" s="10" t="n">
        <v>1</v>
      </c>
      <c r="X325" s="10" t="s">
        <v>71</v>
      </c>
      <c r="Y325" s="10" t="s">
        <v>90</v>
      </c>
      <c r="Z325" s="10" t="s">
        <v>431</v>
      </c>
      <c r="AA325" s="13" t="s">
        <v>610</v>
      </c>
      <c r="AB325" s="13" t="s">
        <v>596</v>
      </c>
      <c r="AC325" s="10"/>
      <c r="AD325" s="10"/>
      <c r="AE325" s="10"/>
      <c r="AF325" s="10"/>
    </row>
    <row r="326" customFormat="false" ht="15.75" hidden="false" customHeight="false" outlineLevel="0" collapsed="false">
      <c r="A326" s="11" t="n">
        <v>46129.4536365278</v>
      </c>
      <c r="B326" s="10" t="s">
        <v>597</v>
      </c>
      <c r="C326" s="10" t="s">
        <v>611</v>
      </c>
      <c r="D326" s="10" t="n">
        <v>49926518</v>
      </c>
      <c r="E326" s="10" t="s">
        <v>215</v>
      </c>
      <c r="F326" s="12" t="n">
        <v>39975</v>
      </c>
      <c r="G326" s="10" t="s">
        <v>612</v>
      </c>
      <c r="H326" s="10" t="s">
        <v>98</v>
      </c>
      <c r="I326" s="10" t="s">
        <v>613</v>
      </c>
      <c r="J326" s="10" t="s">
        <v>162</v>
      </c>
      <c r="K326" s="10" t="s">
        <v>614</v>
      </c>
      <c r="L326" s="10" t="n">
        <v>1603</v>
      </c>
      <c r="M326" s="10" t="s">
        <v>602</v>
      </c>
      <c r="N326" s="10" t="s">
        <v>603</v>
      </c>
      <c r="O326" s="10" t="s">
        <v>615</v>
      </c>
      <c r="P326" s="10" t="s">
        <v>605</v>
      </c>
      <c r="Q326" s="10" t="s">
        <v>616</v>
      </c>
      <c r="R326" s="10" t="s">
        <v>597</v>
      </c>
      <c r="S326" s="10" t="s">
        <v>617</v>
      </c>
      <c r="T326" s="10" t="s">
        <v>608</v>
      </c>
      <c r="U326" s="10" t="s">
        <v>609</v>
      </c>
      <c r="V326" s="10" t="n">
        <v>4</v>
      </c>
      <c r="W326" s="10" t="n">
        <v>1</v>
      </c>
      <c r="X326" s="10" t="s">
        <v>71</v>
      </c>
      <c r="Y326" s="10" t="s">
        <v>90</v>
      </c>
      <c r="Z326" s="10" t="s">
        <v>618</v>
      </c>
      <c r="AA326" s="13" t="s">
        <v>619</v>
      </c>
      <c r="AB326" s="13" t="s">
        <v>596</v>
      </c>
      <c r="AC326" s="10"/>
      <c r="AD326" s="10"/>
      <c r="AE326" s="10"/>
      <c r="AF326" s="10"/>
    </row>
    <row r="327" customFormat="false" ht="15.75" hidden="false" customHeight="false" outlineLevel="0" collapsed="false">
      <c r="A327" s="11" t="n">
        <v>46113.8360415972</v>
      </c>
      <c r="B327" s="10" t="s">
        <v>597</v>
      </c>
      <c r="C327" s="10" t="s">
        <v>620</v>
      </c>
      <c r="D327" s="10" t="n">
        <v>52186585</v>
      </c>
      <c r="E327" s="10" t="s">
        <v>293</v>
      </c>
      <c r="F327" s="12" t="n">
        <v>41155</v>
      </c>
      <c r="G327" s="10" t="s">
        <v>621</v>
      </c>
      <c r="H327" s="10" t="s">
        <v>622</v>
      </c>
      <c r="I327" s="10" t="s">
        <v>63</v>
      </c>
      <c r="J327" s="10" t="s">
        <v>623</v>
      </c>
      <c r="K327" s="10" t="s">
        <v>614</v>
      </c>
      <c r="L327" s="10" t="n">
        <v>1603</v>
      </c>
      <c r="M327" s="10" t="s">
        <v>624</v>
      </c>
      <c r="N327" s="10" t="s">
        <v>603</v>
      </c>
      <c r="O327" s="10" t="n">
        <v>1157400883</v>
      </c>
      <c r="P327" s="10" t="s">
        <v>605</v>
      </c>
      <c r="Q327" s="10" t="s">
        <v>625</v>
      </c>
      <c r="R327" s="10"/>
      <c r="S327" s="10"/>
      <c r="T327" s="10"/>
      <c r="U327" s="10" t="s">
        <v>626</v>
      </c>
      <c r="V327" s="10" t="n">
        <v>2</v>
      </c>
      <c r="W327" s="10" t="n">
        <v>3</v>
      </c>
      <c r="X327" s="10" t="s">
        <v>71</v>
      </c>
      <c r="Y327" s="10" t="s">
        <v>72</v>
      </c>
      <c r="Z327" s="10" t="s">
        <v>627</v>
      </c>
      <c r="AA327" s="13" t="s">
        <v>628</v>
      </c>
      <c r="AB327" s="13" t="s">
        <v>596</v>
      </c>
      <c r="AC327" s="10"/>
      <c r="AD327" s="10"/>
      <c r="AE327" s="10"/>
      <c r="AF327" s="10"/>
    </row>
    <row r="328" customFormat="false" ht="15.75" hidden="false" customHeight="false" outlineLevel="0" collapsed="false">
      <c r="A328" s="11" t="n">
        <v>46141.3496735764</v>
      </c>
      <c r="B328" s="10" t="s">
        <v>629</v>
      </c>
      <c r="C328" s="10" t="s">
        <v>630</v>
      </c>
      <c r="D328" s="10" t="n">
        <v>51158061</v>
      </c>
      <c r="E328" s="10" t="s">
        <v>95</v>
      </c>
      <c r="F328" s="10" t="s">
        <v>631</v>
      </c>
      <c r="G328" s="10" t="s">
        <v>632</v>
      </c>
      <c r="H328" s="10" t="s">
        <v>633</v>
      </c>
      <c r="I328" s="10" t="s">
        <v>335</v>
      </c>
      <c r="J328" s="10" t="s">
        <v>634</v>
      </c>
      <c r="K328" s="10" t="s">
        <v>635</v>
      </c>
      <c r="L328" s="10" t="n">
        <v>1615</v>
      </c>
      <c r="M328" s="10" t="s">
        <v>636</v>
      </c>
      <c r="N328" s="10" t="s">
        <v>637</v>
      </c>
      <c r="O328" s="10" t="n">
        <v>1138406932</v>
      </c>
      <c r="P328" s="10" t="s">
        <v>638</v>
      </c>
      <c r="Q328" s="10"/>
      <c r="R328" s="10"/>
      <c r="S328" s="10"/>
      <c r="T328" s="10"/>
      <c r="U328" s="10"/>
      <c r="V328" s="10" t="n">
        <v>3</v>
      </c>
      <c r="W328" s="10" t="n">
        <v>1</v>
      </c>
      <c r="X328" s="10" t="s">
        <v>71</v>
      </c>
      <c r="Y328" s="10" t="s">
        <v>72</v>
      </c>
      <c r="Z328" s="10" t="s">
        <v>308</v>
      </c>
      <c r="AA328" s="13" t="s">
        <v>639</v>
      </c>
      <c r="AB328" s="13" t="s">
        <v>596</v>
      </c>
      <c r="AC328" s="10"/>
      <c r="AD328" s="10"/>
      <c r="AE328" s="10"/>
      <c r="AF328" s="10"/>
    </row>
    <row r="329" customFormat="false" ht="15.75" hidden="false" customHeight="false" outlineLevel="0" collapsed="false">
      <c r="A329" s="11" t="n">
        <v>46113.4668706713</v>
      </c>
      <c r="B329" s="10" t="s">
        <v>629</v>
      </c>
      <c r="C329" s="10" t="s">
        <v>640</v>
      </c>
      <c r="D329" s="10" t="n">
        <v>52918076</v>
      </c>
      <c r="E329" s="10" t="s">
        <v>60</v>
      </c>
      <c r="F329" s="10" t="s">
        <v>641</v>
      </c>
      <c r="G329" s="10" t="s">
        <v>642</v>
      </c>
      <c r="H329" s="10" t="s">
        <v>62</v>
      </c>
      <c r="I329" s="10" t="s">
        <v>643</v>
      </c>
      <c r="J329" s="10" t="s">
        <v>644</v>
      </c>
      <c r="K329" s="10" t="s">
        <v>645</v>
      </c>
      <c r="L329" s="10" t="n">
        <v>1613</v>
      </c>
      <c r="M329" s="10" t="s">
        <v>62</v>
      </c>
      <c r="N329" s="10" t="s">
        <v>62</v>
      </c>
      <c r="O329" s="10" t="s">
        <v>646</v>
      </c>
      <c r="P329" s="10" t="s">
        <v>647</v>
      </c>
      <c r="Q329" s="10" t="s">
        <v>62</v>
      </c>
      <c r="R329" s="10" t="s">
        <v>62</v>
      </c>
      <c r="S329" s="10" t="s">
        <v>648</v>
      </c>
      <c r="T329" s="10" t="s">
        <v>62</v>
      </c>
      <c r="U329" s="10" t="s">
        <v>62</v>
      </c>
      <c r="V329" s="10" t="n">
        <v>1</v>
      </c>
      <c r="W329" s="10" t="n">
        <v>2</v>
      </c>
      <c r="X329" s="10" t="s">
        <v>71</v>
      </c>
      <c r="Y329" s="10" t="s">
        <v>72</v>
      </c>
      <c r="Z329" s="10" t="s">
        <v>289</v>
      </c>
      <c r="AA329" s="13" t="s">
        <v>649</v>
      </c>
      <c r="AB329" s="13" t="s">
        <v>596</v>
      </c>
      <c r="AC329" s="10"/>
      <c r="AD329" s="10"/>
      <c r="AE329" s="10"/>
      <c r="AF329" s="10"/>
    </row>
    <row r="330" customFormat="false" ht="15.75" hidden="false" customHeight="false" outlineLevel="0" collapsed="false">
      <c r="A330" s="11" t="n">
        <v>46153.9204564699</v>
      </c>
      <c r="B330" s="10" t="s">
        <v>650</v>
      </c>
      <c r="C330" s="10" t="s">
        <v>651</v>
      </c>
      <c r="D330" s="10" t="n">
        <v>39488895</v>
      </c>
      <c r="E330" s="10" t="s">
        <v>60</v>
      </c>
      <c r="F330" s="10" t="s">
        <v>652</v>
      </c>
      <c r="G330" s="10" t="s">
        <v>653</v>
      </c>
      <c r="H330" s="10" t="s">
        <v>654</v>
      </c>
      <c r="I330" s="10" t="s">
        <v>655</v>
      </c>
      <c r="J330" s="10" t="s">
        <v>656</v>
      </c>
      <c r="K330" s="10" t="s">
        <v>657</v>
      </c>
      <c r="L330" s="10" t="n">
        <v>1645</v>
      </c>
      <c r="M330" s="10" t="s">
        <v>651</v>
      </c>
      <c r="N330" s="10" t="s">
        <v>650</v>
      </c>
      <c r="O330" s="10" t="n">
        <v>1164475750</v>
      </c>
      <c r="P330" s="10" t="s">
        <v>654</v>
      </c>
      <c r="Q330" s="10"/>
      <c r="R330" s="10"/>
      <c r="S330" s="10"/>
      <c r="T330" s="10"/>
      <c r="U330" s="10"/>
      <c r="V330" s="10" t="n">
        <v>4</v>
      </c>
      <c r="W330" s="10" t="n">
        <v>3</v>
      </c>
      <c r="X330" s="10" t="s">
        <v>198</v>
      </c>
      <c r="Y330" s="10" t="s">
        <v>132</v>
      </c>
      <c r="Z330" s="10" t="s">
        <v>658</v>
      </c>
      <c r="AA330" s="13" t="s">
        <v>659</v>
      </c>
      <c r="AB330" s="13" t="s">
        <v>596</v>
      </c>
      <c r="AC330" s="10"/>
      <c r="AD330" s="10"/>
      <c r="AE330" s="10"/>
      <c r="AF330" s="10"/>
    </row>
    <row r="331" customFormat="false" ht="15.75" hidden="false" customHeight="false" outlineLevel="0" collapsed="false">
      <c r="A331" s="11" t="n">
        <v>46133.4305743634</v>
      </c>
      <c r="B331" s="10" t="s">
        <v>660</v>
      </c>
      <c r="C331" s="10" t="s">
        <v>661</v>
      </c>
      <c r="D331" s="10" t="n">
        <v>50324246</v>
      </c>
      <c r="E331" s="10" t="s">
        <v>107</v>
      </c>
      <c r="F331" s="12" t="n">
        <v>40243</v>
      </c>
      <c r="G331" s="10" t="s">
        <v>662</v>
      </c>
      <c r="H331" s="10" t="s">
        <v>663</v>
      </c>
      <c r="I331" s="10" t="s">
        <v>82</v>
      </c>
      <c r="J331" s="10" t="s">
        <v>83</v>
      </c>
      <c r="K331" s="10" t="s">
        <v>664</v>
      </c>
      <c r="L331" s="10" t="n">
        <v>1428</v>
      </c>
      <c r="M331" s="10" t="s">
        <v>665</v>
      </c>
      <c r="N331" s="10" t="s">
        <v>170</v>
      </c>
      <c r="O331" s="10" t="n">
        <v>1141664393</v>
      </c>
      <c r="P331" s="10" t="s">
        <v>666</v>
      </c>
      <c r="Q331" s="10" t="s">
        <v>667</v>
      </c>
      <c r="R331" s="10" t="s">
        <v>668</v>
      </c>
      <c r="S331" s="10" t="n">
        <v>1136127425</v>
      </c>
      <c r="T331" s="10" t="s">
        <v>669</v>
      </c>
      <c r="U331" s="10" t="s">
        <v>670</v>
      </c>
      <c r="V331" s="10" t="n">
        <v>4</v>
      </c>
      <c r="W331" s="10" t="n">
        <v>1</v>
      </c>
      <c r="X331" s="10" t="s">
        <v>71</v>
      </c>
      <c r="Y331" s="10" t="s">
        <v>90</v>
      </c>
      <c r="Z331" s="10" t="s">
        <v>671</v>
      </c>
      <c r="AA331" s="13" t="s">
        <v>672</v>
      </c>
      <c r="AB331" s="13" t="s">
        <v>596</v>
      </c>
      <c r="AC331" s="10"/>
      <c r="AD331" s="10"/>
      <c r="AE331" s="10"/>
      <c r="AF331" s="10"/>
    </row>
    <row r="332" customFormat="false" ht="15.75" hidden="false" customHeight="false" outlineLevel="0" collapsed="false">
      <c r="A332" s="11" t="n">
        <v>46133.7167852315</v>
      </c>
      <c r="B332" s="10" t="s">
        <v>673</v>
      </c>
      <c r="C332" s="10" t="s">
        <v>674</v>
      </c>
      <c r="D332" s="10" t="n">
        <v>52035003</v>
      </c>
      <c r="E332" s="10" t="s">
        <v>293</v>
      </c>
      <c r="F332" s="12" t="n">
        <v>41187</v>
      </c>
      <c r="G332" s="10" t="s">
        <v>675</v>
      </c>
      <c r="H332" s="10" t="s">
        <v>676</v>
      </c>
      <c r="I332" s="10" t="s">
        <v>63</v>
      </c>
      <c r="J332" s="10" t="s">
        <v>63</v>
      </c>
      <c r="K332" s="10" t="s">
        <v>63</v>
      </c>
      <c r="L332" s="10" t="s">
        <v>63</v>
      </c>
      <c r="M332" s="10" t="s">
        <v>677</v>
      </c>
      <c r="N332" s="10" t="s">
        <v>678</v>
      </c>
      <c r="O332" s="10" t="s">
        <v>679</v>
      </c>
      <c r="P332" s="10" t="s">
        <v>680</v>
      </c>
      <c r="Q332" s="10"/>
      <c r="R332" s="10"/>
      <c r="S332" s="10"/>
      <c r="T332" s="10"/>
      <c r="U332" s="10"/>
      <c r="V332" s="10" t="n">
        <v>2</v>
      </c>
      <c r="W332" s="10"/>
      <c r="X332" s="10" t="s">
        <v>198</v>
      </c>
      <c r="Y332" s="10" t="s">
        <v>72</v>
      </c>
      <c r="Z332" s="10" t="s">
        <v>681</v>
      </c>
      <c r="AA332" s="13" t="s">
        <v>682</v>
      </c>
      <c r="AB332" s="13" t="s">
        <v>596</v>
      </c>
      <c r="AC332" s="10"/>
      <c r="AD332" s="10"/>
      <c r="AE332" s="10"/>
      <c r="AF332" s="10"/>
    </row>
    <row r="333" customFormat="false" ht="15.75" hidden="false" customHeight="false" outlineLevel="0" collapsed="false">
      <c r="A333" s="11" t="n">
        <v>46135.3928231713</v>
      </c>
      <c r="B333" s="10" t="s">
        <v>683</v>
      </c>
      <c r="C333" s="10" t="s">
        <v>684</v>
      </c>
      <c r="D333" s="10" t="n">
        <v>48425536</v>
      </c>
      <c r="E333" s="10" t="s">
        <v>107</v>
      </c>
      <c r="F333" s="10" t="s">
        <v>685</v>
      </c>
      <c r="G333" s="10" t="s">
        <v>686</v>
      </c>
      <c r="H333" s="10" t="s">
        <v>687</v>
      </c>
      <c r="I333" s="10" t="s">
        <v>688</v>
      </c>
      <c r="J333" s="10" t="s">
        <v>689</v>
      </c>
      <c r="K333" s="10" t="s">
        <v>690</v>
      </c>
      <c r="L333" s="10" t="s">
        <v>691</v>
      </c>
      <c r="M333" s="10" t="s">
        <v>692</v>
      </c>
      <c r="N333" s="10" t="s">
        <v>683</v>
      </c>
      <c r="O333" s="10" t="n">
        <v>1122643981</v>
      </c>
      <c r="P333" s="10" t="s">
        <v>647</v>
      </c>
      <c r="Q333" s="10" t="s">
        <v>693</v>
      </c>
      <c r="R333" s="10" t="s">
        <v>629</v>
      </c>
      <c r="S333" s="10" t="n">
        <v>1138406932</v>
      </c>
      <c r="T333" s="10" t="s">
        <v>647</v>
      </c>
      <c r="U333" s="10"/>
      <c r="V333" s="10" t="n">
        <v>6</v>
      </c>
      <c r="W333" s="10" t="n">
        <v>1</v>
      </c>
      <c r="X333" s="10" t="s">
        <v>71</v>
      </c>
      <c r="Y333" s="10" t="s">
        <v>132</v>
      </c>
      <c r="Z333" s="10" t="s">
        <v>147</v>
      </c>
      <c r="AA333" s="13" t="s">
        <v>694</v>
      </c>
      <c r="AB333" s="13" t="s">
        <v>695</v>
      </c>
      <c r="AC333" s="10"/>
      <c r="AD333" s="10"/>
      <c r="AE333" s="10"/>
      <c r="AF333" s="10"/>
    </row>
    <row r="334" customFormat="false" ht="15.75" hidden="false" customHeight="false" outlineLevel="0" collapsed="false">
      <c r="A334" s="11" t="n">
        <v>46113.5312953704</v>
      </c>
      <c r="B334" s="10" t="s">
        <v>683</v>
      </c>
      <c r="C334" s="10" t="s">
        <v>696</v>
      </c>
      <c r="D334" s="10" t="n">
        <v>52767246</v>
      </c>
      <c r="E334" s="10" t="s">
        <v>95</v>
      </c>
      <c r="F334" s="12" t="n">
        <v>41072</v>
      </c>
      <c r="G334" s="10" t="s">
        <v>697</v>
      </c>
      <c r="H334" s="10" t="s">
        <v>698</v>
      </c>
      <c r="I334" s="10" t="s">
        <v>82</v>
      </c>
      <c r="J334" s="10" t="s">
        <v>323</v>
      </c>
      <c r="K334" s="10" t="s">
        <v>699</v>
      </c>
      <c r="L334" s="10" t="n">
        <v>1430</v>
      </c>
      <c r="M334" s="10" t="s">
        <v>700</v>
      </c>
      <c r="N334" s="10" t="s">
        <v>701</v>
      </c>
      <c r="O334" s="10" t="s">
        <v>702</v>
      </c>
      <c r="P334" s="10" t="s">
        <v>703</v>
      </c>
      <c r="Q334" s="10" t="s">
        <v>704</v>
      </c>
      <c r="R334" s="10" t="s">
        <v>705</v>
      </c>
      <c r="S334" s="10" t="s">
        <v>706</v>
      </c>
      <c r="T334" s="10" t="s">
        <v>707</v>
      </c>
      <c r="U334" s="10" t="s">
        <v>229</v>
      </c>
      <c r="V334" s="10" t="n">
        <v>1</v>
      </c>
      <c r="W334" s="10" t="n">
        <v>5</v>
      </c>
      <c r="X334" s="10" t="s">
        <v>71</v>
      </c>
      <c r="Y334" s="10" t="s">
        <v>72</v>
      </c>
      <c r="Z334" s="10" t="s">
        <v>708</v>
      </c>
      <c r="AA334" s="13" t="s">
        <v>709</v>
      </c>
      <c r="AB334" s="13" t="s">
        <v>695</v>
      </c>
      <c r="AC334" s="10"/>
      <c r="AD334" s="10"/>
      <c r="AE334" s="10"/>
      <c r="AF334" s="10"/>
    </row>
    <row r="335" customFormat="false" ht="15.75" hidden="false" customHeight="false" outlineLevel="0" collapsed="false">
      <c r="A335" s="11" t="n">
        <v>46132.8270197338</v>
      </c>
      <c r="B335" s="10" t="s">
        <v>710</v>
      </c>
      <c r="C335" s="10" t="s">
        <v>711</v>
      </c>
      <c r="D335" s="10" t="n">
        <v>25642945</v>
      </c>
      <c r="E335" s="10" t="s">
        <v>712</v>
      </c>
      <c r="F335" s="12" t="n">
        <v>27190</v>
      </c>
      <c r="G335" s="10" t="s">
        <v>713</v>
      </c>
      <c r="H335" s="10" t="s">
        <v>714</v>
      </c>
      <c r="I335" s="10" t="s">
        <v>82</v>
      </c>
      <c r="J335" s="10" t="s">
        <v>715</v>
      </c>
      <c r="K335" s="10" t="s">
        <v>716</v>
      </c>
      <c r="L335" s="10" t="n">
        <v>1431</v>
      </c>
      <c r="M335" s="10" t="s">
        <v>717</v>
      </c>
      <c r="N335" s="10" t="s">
        <v>718</v>
      </c>
      <c r="O335" s="10" t="n">
        <v>1131107583</v>
      </c>
      <c r="P335" s="10" t="s">
        <v>719</v>
      </c>
      <c r="Q335" s="10"/>
      <c r="R335" s="10"/>
      <c r="S335" s="10"/>
      <c r="T335" s="10"/>
      <c r="U335" s="10"/>
      <c r="V335" s="10" t="n">
        <v>2</v>
      </c>
      <c r="W335" s="10" t="n">
        <v>5</v>
      </c>
      <c r="X335" s="10" t="s">
        <v>198</v>
      </c>
      <c r="Y335" s="10" t="s">
        <v>72</v>
      </c>
      <c r="Z335" s="10" t="s">
        <v>383</v>
      </c>
      <c r="AA335" s="13" t="s">
        <v>720</v>
      </c>
      <c r="AB335" s="13" t="s">
        <v>695</v>
      </c>
      <c r="AC335" s="10"/>
      <c r="AD335" s="10"/>
      <c r="AE335" s="10"/>
      <c r="AF335" s="10"/>
    </row>
    <row r="336" customFormat="false" ht="15.75" hidden="false" customHeight="false" outlineLevel="0" collapsed="false">
      <c r="A336" s="11" t="n">
        <v>46113.535811331</v>
      </c>
      <c r="B336" s="10" t="s">
        <v>721</v>
      </c>
      <c r="C336" s="10" t="s">
        <v>722</v>
      </c>
      <c r="D336" s="10" t="n">
        <v>53096421</v>
      </c>
      <c r="E336" s="10" t="s">
        <v>95</v>
      </c>
      <c r="F336" s="10" t="s">
        <v>723</v>
      </c>
      <c r="G336" s="10" t="s">
        <v>724</v>
      </c>
      <c r="H336" s="10" t="s">
        <v>724</v>
      </c>
      <c r="I336" s="10" t="s">
        <v>725</v>
      </c>
      <c r="J336" s="10" t="s">
        <v>726</v>
      </c>
      <c r="K336" s="10" t="s">
        <v>727</v>
      </c>
      <c r="L336" s="10" t="n">
        <v>1686</v>
      </c>
      <c r="M336" s="10" t="s">
        <v>728</v>
      </c>
      <c r="N336" s="10" t="s">
        <v>729</v>
      </c>
      <c r="O336" s="10" t="n">
        <v>1156183244</v>
      </c>
      <c r="P336" s="10" t="s">
        <v>730</v>
      </c>
      <c r="Q336" s="10"/>
      <c r="R336" s="10"/>
      <c r="S336" s="10"/>
      <c r="T336" s="10"/>
      <c r="U336" s="10" t="s">
        <v>731</v>
      </c>
      <c r="V336" s="10" t="n">
        <v>1</v>
      </c>
      <c r="W336" s="10" t="n">
        <v>5</v>
      </c>
      <c r="X336" s="10" t="s">
        <v>71</v>
      </c>
      <c r="Y336" s="10" t="s">
        <v>72</v>
      </c>
      <c r="Z336" s="10" t="s">
        <v>236</v>
      </c>
      <c r="AA336" s="13" t="s">
        <v>732</v>
      </c>
      <c r="AB336" s="13" t="s">
        <v>695</v>
      </c>
      <c r="AC336" s="10"/>
      <c r="AD336" s="10"/>
      <c r="AE336" s="10"/>
      <c r="AF336" s="10"/>
    </row>
    <row r="337" customFormat="false" ht="15.75" hidden="false" customHeight="false" outlineLevel="0" collapsed="false">
      <c r="A337" s="11" t="n">
        <v>46127.6125825695</v>
      </c>
      <c r="B337" s="10" t="s">
        <v>733</v>
      </c>
      <c r="C337" s="10" t="s">
        <v>734</v>
      </c>
      <c r="D337" s="10" t="n">
        <v>50233547</v>
      </c>
      <c r="E337" s="10" t="s">
        <v>293</v>
      </c>
      <c r="F337" s="12" t="n">
        <v>40332</v>
      </c>
      <c r="G337" s="10" t="s">
        <v>735</v>
      </c>
      <c r="H337" s="10" t="s">
        <v>736</v>
      </c>
      <c r="I337" s="10" t="s">
        <v>737</v>
      </c>
      <c r="J337" s="10" t="s">
        <v>738</v>
      </c>
      <c r="K337" s="10" t="s">
        <v>739</v>
      </c>
      <c r="L337" s="10" t="n">
        <v>1864</v>
      </c>
      <c r="M337" s="10" t="s">
        <v>740</v>
      </c>
      <c r="N337" s="10" t="s">
        <v>741</v>
      </c>
      <c r="O337" s="10" t="n">
        <v>5491134273424</v>
      </c>
      <c r="P337" s="10" t="s">
        <v>742</v>
      </c>
      <c r="Q337" s="10"/>
      <c r="R337" s="10"/>
      <c r="S337" s="10"/>
      <c r="T337" s="10"/>
      <c r="U337" s="10" t="s">
        <v>743</v>
      </c>
      <c r="V337" s="10" t="n">
        <v>3</v>
      </c>
      <c r="W337" s="10" t="n">
        <v>2</v>
      </c>
      <c r="X337" s="10" t="s">
        <v>71</v>
      </c>
      <c r="Y337" s="10" t="s">
        <v>72</v>
      </c>
      <c r="Z337" s="10" t="s">
        <v>168</v>
      </c>
      <c r="AA337" s="13" t="s">
        <v>744</v>
      </c>
      <c r="AB337" s="13" t="s">
        <v>695</v>
      </c>
      <c r="AC337" s="10"/>
      <c r="AD337" s="10"/>
      <c r="AE337" s="10"/>
      <c r="AF337" s="10"/>
    </row>
    <row r="338" customFormat="false" ht="15.75" hidden="false" customHeight="false" outlineLevel="0" collapsed="false">
      <c r="A338" s="11" t="n">
        <v>46113.8388423032</v>
      </c>
      <c r="B338" s="10" t="s">
        <v>745</v>
      </c>
      <c r="C338" s="10" t="s">
        <v>746</v>
      </c>
      <c r="D338" s="10" t="n">
        <v>52439426</v>
      </c>
      <c r="E338" s="10" t="s">
        <v>469</v>
      </c>
      <c r="F338" s="12" t="n">
        <v>41093</v>
      </c>
      <c r="G338" s="10" t="s">
        <v>747</v>
      </c>
      <c r="H338" s="10" t="s">
        <v>748</v>
      </c>
      <c r="I338" s="10" t="s">
        <v>63</v>
      </c>
      <c r="J338" s="10" t="s">
        <v>749</v>
      </c>
      <c r="K338" s="10" t="s">
        <v>750</v>
      </c>
      <c r="L338" s="10" t="n">
        <v>1430</v>
      </c>
      <c r="M338" s="10" t="s">
        <v>751</v>
      </c>
      <c r="N338" s="10" t="s">
        <v>752</v>
      </c>
      <c r="O338" s="10" t="n">
        <v>1133697314</v>
      </c>
      <c r="P338" s="10" t="s">
        <v>753</v>
      </c>
      <c r="Q338" s="10" t="s">
        <v>754</v>
      </c>
      <c r="R338" s="10"/>
      <c r="S338" s="10" t="n">
        <v>1130325333</v>
      </c>
      <c r="T338" s="10"/>
      <c r="U338" s="10" t="s">
        <v>626</v>
      </c>
      <c r="V338" s="10" t="n">
        <v>2</v>
      </c>
      <c r="W338" s="10" t="n">
        <v>3</v>
      </c>
      <c r="X338" s="10" t="s">
        <v>71</v>
      </c>
      <c r="Y338" s="10" t="s">
        <v>72</v>
      </c>
      <c r="Z338" s="10" t="s">
        <v>289</v>
      </c>
      <c r="AA338" s="13" t="s">
        <v>755</v>
      </c>
      <c r="AB338" s="13" t="s">
        <v>695</v>
      </c>
      <c r="AC338" s="10"/>
      <c r="AD338" s="10"/>
      <c r="AE338" s="10"/>
      <c r="AF338" s="10"/>
    </row>
    <row r="339" customFormat="false" ht="15.75" hidden="false" customHeight="false" outlineLevel="0" collapsed="false">
      <c r="A339" s="11" t="n">
        <v>46127.6596816088</v>
      </c>
      <c r="B339" s="10" t="s">
        <v>756</v>
      </c>
      <c r="C339" s="10" t="s">
        <v>757</v>
      </c>
      <c r="D339" s="10" t="n">
        <v>50550426</v>
      </c>
      <c r="E339" s="10" t="s">
        <v>107</v>
      </c>
      <c r="F339" s="10" t="s">
        <v>758</v>
      </c>
      <c r="G339" s="10" t="s">
        <v>759</v>
      </c>
      <c r="H339" s="10" t="s">
        <v>759</v>
      </c>
      <c r="I339" s="10" t="s">
        <v>760</v>
      </c>
      <c r="J339" s="10" t="s">
        <v>243</v>
      </c>
      <c r="K339" s="10" t="s">
        <v>761</v>
      </c>
      <c r="L339" s="10" t="s">
        <v>762</v>
      </c>
      <c r="M339" s="10" t="s">
        <v>763</v>
      </c>
      <c r="N339" s="10" t="s">
        <v>756</v>
      </c>
      <c r="O339" s="10" t="e">
        <f aca="false">#error!</f>
        <v>#NAME?</v>
      </c>
      <c r="P339" s="10" t="s">
        <v>131</v>
      </c>
      <c r="Q339" s="10" t="s">
        <v>764</v>
      </c>
      <c r="R339" s="10" t="s">
        <v>765</v>
      </c>
      <c r="S339" s="10" t="e">
        <f aca="false">#error!</f>
        <v>#NAME?</v>
      </c>
      <c r="T339" s="10" t="s">
        <v>131</v>
      </c>
      <c r="U339" s="10"/>
      <c r="V339" s="10" t="n">
        <v>3</v>
      </c>
      <c r="W339" s="10" t="n">
        <v>2</v>
      </c>
      <c r="X339" s="10" t="s">
        <v>71</v>
      </c>
      <c r="Y339" s="10" t="s">
        <v>72</v>
      </c>
      <c r="Z339" s="10" t="s">
        <v>766</v>
      </c>
      <c r="AA339" s="13" t="s">
        <v>767</v>
      </c>
      <c r="AB339" s="13" t="s">
        <v>695</v>
      </c>
      <c r="AC339" s="10"/>
      <c r="AD339" s="10"/>
      <c r="AE339" s="10"/>
      <c r="AF339" s="10"/>
    </row>
    <row r="340" customFormat="false" ht="15.75" hidden="false" customHeight="false" outlineLevel="0" collapsed="false">
      <c r="A340" s="11" t="n">
        <v>46134.6083815972</v>
      </c>
      <c r="B340" s="10" t="s">
        <v>768</v>
      </c>
      <c r="C340" s="10" t="s">
        <v>769</v>
      </c>
      <c r="D340" s="10" t="n">
        <v>49703142</v>
      </c>
      <c r="E340" s="10" t="s">
        <v>60</v>
      </c>
      <c r="F340" s="12" t="n">
        <v>40125</v>
      </c>
      <c r="G340" s="10" t="s">
        <v>770</v>
      </c>
      <c r="H340" s="10" t="s">
        <v>771</v>
      </c>
      <c r="I340" s="10" t="s">
        <v>82</v>
      </c>
      <c r="J340" s="10" t="s">
        <v>82</v>
      </c>
      <c r="K340" s="10" t="s">
        <v>772</v>
      </c>
      <c r="L340" s="10" t="n">
        <v>1428</v>
      </c>
      <c r="M340" s="10" t="s">
        <v>773</v>
      </c>
      <c r="N340" s="10" t="s">
        <v>768</v>
      </c>
      <c r="O340" s="10" t="e">
        <f aca="false">#error!</f>
        <v>#NAME?</v>
      </c>
      <c r="P340" s="10" t="s">
        <v>774</v>
      </c>
      <c r="Q340" s="10"/>
      <c r="R340" s="10"/>
      <c r="S340" s="10"/>
      <c r="T340" s="10"/>
      <c r="U340" s="10"/>
      <c r="V340" s="10" t="n">
        <v>4</v>
      </c>
      <c r="W340" s="10" t="n">
        <v>2</v>
      </c>
      <c r="X340" s="10" t="s">
        <v>71</v>
      </c>
      <c r="Y340" s="10" t="s">
        <v>90</v>
      </c>
      <c r="Z340" s="10" t="s">
        <v>775</v>
      </c>
      <c r="AA340" s="13" t="s">
        <v>776</v>
      </c>
      <c r="AB340" s="13" t="s">
        <v>695</v>
      </c>
      <c r="AC340" s="10"/>
      <c r="AD340" s="10"/>
      <c r="AE340" s="10"/>
      <c r="AF340" s="10"/>
    </row>
    <row r="341" customFormat="false" ht="15.75" hidden="false" customHeight="false" outlineLevel="0" collapsed="false">
      <c r="A341" s="11" t="n">
        <v>46133.4951870949</v>
      </c>
      <c r="B341" s="10" t="s">
        <v>777</v>
      </c>
      <c r="C341" s="10" t="s">
        <v>778</v>
      </c>
      <c r="D341" s="10" t="n">
        <v>49697663</v>
      </c>
      <c r="E341" s="10" t="s">
        <v>107</v>
      </c>
      <c r="F341" s="12" t="n">
        <v>39854</v>
      </c>
      <c r="G341" s="10" t="s">
        <v>779</v>
      </c>
      <c r="H341" s="10" t="s">
        <v>780</v>
      </c>
      <c r="I341" s="10" t="s">
        <v>591</v>
      </c>
      <c r="J341" s="10" t="s">
        <v>64</v>
      </c>
      <c r="K341" s="10" t="s">
        <v>781</v>
      </c>
      <c r="L341" s="10" t="n">
        <v>1431</v>
      </c>
      <c r="M341" s="10" t="s">
        <v>782</v>
      </c>
      <c r="N341" s="10" t="s">
        <v>783</v>
      </c>
      <c r="O341" s="10" t="n">
        <v>1140493636</v>
      </c>
      <c r="P341" s="10" t="s">
        <v>784</v>
      </c>
      <c r="Q341" s="10"/>
      <c r="R341" s="10"/>
      <c r="S341" s="10"/>
      <c r="T341" s="10"/>
      <c r="U341" s="10"/>
      <c r="V341" s="10" t="n">
        <v>4</v>
      </c>
      <c r="W341" s="10" t="n">
        <v>1</v>
      </c>
      <c r="X341" s="10" t="s">
        <v>71</v>
      </c>
      <c r="Y341" s="10" t="s">
        <v>132</v>
      </c>
      <c r="Z341" s="10" t="s">
        <v>443</v>
      </c>
      <c r="AA341" s="13" t="s">
        <v>785</v>
      </c>
      <c r="AB341" s="13" t="s">
        <v>695</v>
      </c>
      <c r="AC341" s="10"/>
      <c r="AD341" s="10"/>
      <c r="AE341" s="10"/>
      <c r="AF341" s="10"/>
    </row>
    <row r="342" customFormat="false" ht="15.75" hidden="false" customHeight="false" outlineLevel="0" collapsed="false">
      <c r="A342" s="11" t="n">
        <v>46129.3837554051</v>
      </c>
      <c r="B342" s="10" t="s">
        <v>786</v>
      </c>
      <c r="C342" s="10" t="s">
        <v>787</v>
      </c>
      <c r="D342" s="10" t="n">
        <v>50421444</v>
      </c>
      <c r="E342" s="10" t="s">
        <v>107</v>
      </c>
      <c r="F342" s="10" t="s">
        <v>788</v>
      </c>
      <c r="G342" s="10" t="s">
        <v>789</v>
      </c>
      <c r="H342" s="10" t="s">
        <v>98</v>
      </c>
      <c r="I342" s="10" t="s">
        <v>82</v>
      </c>
      <c r="J342" s="10" t="s">
        <v>790</v>
      </c>
      <c r="K342" s="10" t="s">
        <v>791</v>
      </c>
      <c r="L342" s="10" t="n">
        <v>1431</v>
      </c>
      <c r="M342" s="10" t="s">
        <v>792</v>
      </c>
      <c r="N342" s="10" t="s">
        <v>786</v>
      </c>
      <c r="O342" s="10" t="n">
        <v>5491162108773</v>
      </c>
      <c r="P342" s="10" t="s">
        <v>789</v>
      </c>
      <c r="Q342" s="10"/>
      <c r="R342" s="10"/>
      <c r="S342" s="10"/>
      <c r="T342" s="10"/>
      <c r="U342" s="10" t="s">
        <v>793</v>
      </c>
      <c r="V342" s="10" t="n">
        <v>3</v>
      </c>
      <c r="W342" s="10" t="n">
        <v>1</v>
      </c>
      <c r="X342" s="10" t="s">
        <v>71</v>
      </c>
      <c r="Y342" s="10" t="s">
        <v>72</v>
      </c>
      <c r="Z342" s="10" t="s">
        <v>794</v>
      </c>
      <c r="AA342" s="13" t="s">
        <v>795</v>
      </c>
      <c r="AB342" s="13" t="s">
        <v>695</v>
      </c>
      <c r="AC342" s="10"/>
      <c r="AD342" s="10"/>
      <c r="AE342" s="10"/>
      <c r="AF342" s="10"/>
    </row>
    <row r="343" customFormat="false" ht="15.75" hidden="false" customHeight="false" outlineLevel="0" collapsed="false">
      <c r="A343" s="11" t="n">
        <v>46113.8916087847</v>
      </c>
      <c r="B343" s="10" t="s">
        <v>786</v>
      </c>
      <c r="C343" s="10" t="s">
        <v>796</v>
      </c>
      <c r="D343" s="10" t="n">
        <v>53372033</v>
      </c>
      <c r="E343" s="10" t="s">
        <v>60</v>
      </c>
      <c r="F343" s="12" t="n">
        <v>41461</v>
      </c>
      <c r="G343" s="10" t="s">
        <v>797</v>
      </c>
      <c r="H343" s="10" t="s">
        <v>62</v>
      </c>
      <c r="I343" s="10" t="s">
        <v>798</v>
      </c>
      <c r="J343" s="10" t="s">
        <v>410</v>
      </c>
      <c r="K343" s="10" t="s">
        <v>799</v>
      </c>
      <c r="L343" s="10" t="n">
        <v>1431</v>
      </c>
      <c r="M343" s="10" t="s">
        <v>792</v>
      </c>
      <c r="N343" s="10" t="s">
        <v>786</v>
      </c>
      <c r="O343" s="10" t="s">
        <v>800</v>
      </c>
      <c r="P343" s="10" t="s">
        <v>801</v>
      </c>
      <c r="Q343" s="10" t="s">
        <v>624</v>
      </c>
      <c r="R343" s="10" t="s">
        <v>802</v>
      </c>
      <c r="S343" s="10" t="n">
        <v>1162108783</v>
      </c>
      <c r="T343" s="10" t="s">
        <v>803</v>
      </c>
      <c r="U343" s="10" t="s">
        <v>62</v>
      </c>
      <c r="V343" s="10" t="n">
        <v>1</v>
      </c>
      <c r="W343" s="10" t="n">
        <v>2</v>
      </c>
      <c r="X343" s="10" t="s">
        <v>71</v>
      </c>
      <c r="Y343" s="10" t="s">
        <v>72</v>
      </c>
      <c r="Z343" s="10" t="s">
        <v>236</v>
      </c>
      <c r="AA343" s="13" t="s">
        <v>804</v>
      </c>
      <c r="AB343" s="13" t="s">
        <v>695</v>
      </c>
      <c r="AC343" s="10"/>
      <c r="AD343" s="10"/>
      <c r="AE343" s="10"/>
      <c r="AF343" s="10"/>
    </row>
    <row r="344" customFormat="false" ht="15.75" hidden="false" customHeight="false" outlineLevel="0" collapsed="false">
      <c r="A344" s="11" t="n">
        <v>46127.6538653588</v>
      </c>
      <c r="B344" s="10" t="s">
        <v>805</v>
      </c>
      <c r="C344" s="10" t="s">
        <v>355</v>
      </c>
      <c r="D344" s="10" t="n">
        <v>50887792</v>
      </c>
      <c r="E344" s="10" t="s">
        <v>293</v>
      </c>
      <c r="F344" s="10" t="s">
        <v>806</v>
      </c>
      <c r="G344" s="10" t="s">
        <v>807</v>
      </c>
      <c r="H344" s="10" t="s">
        <v>808</v>
      </c>
      <c r="I344" s="10" t="s">
        <v>63</v>
      </c>
      <c r="J344" s="10" t="s">
        <v>63</v>
      </c>
      <c r="K344" s="10" t="s">
        <v>809</v>
      </c>
      <c r="L344" s="10" t="n">
        <v>1651</v>
      </c>
      <c r="M344" s="10" t="s">
        <v>810</v>
      </c>
      <c r="N344" s="10" t="s">
        <v>811</v>
      </c>
      <c r="O344" s="10" t="s">
        <v>812</v>
      </c>
      <c r="P344" s="10" t="s">
        <v>813</v>
      </c>
      <c r="Q344" s="10"/>
      <c r="R344" s="10"/>
      <c r="S344" s="10"/>
      <c r="T344" s="10"/>
      <c r="U344" s="10"/>
      <c r="V344" s="10" t="n">
        <v>3</v>
      </c>
      <c r="W344" s="10" t="n">
        <v>5</v>
      </c>
      <c r="X344" s="10" t="s">
        <v>71</v>
      </c>
      <c r="Y344" s="10" t="s">
        <v>72</v>
      </c>
      <c r="Z344" s="10" t="s">
        <v>319</v>
      </c>
      <c r="AA344" s="13" t="s">
        <v>814</v>
      </c>
      <c r="AB344" s="13" t="s">
        <v>695</v>
      </c>
      <c r="AC344" s="10"/>
      <c r="AD344" s="10"/>
      <c r="AE344" s="10"/>
      <c r="AF344" s="10"/>
    </row>
    <row r="345" customFormat="false" ht="15.75" hidden="false" customHeight="false" outlineLevel="0" collapsed="false">
      <c r="A345" s="11" t="n">
        <v>46127.6226980903</v>
      </c>
      <c r="B345" s="10" t="s">
        <v>805</v>
      </c>
      <c r="C345" s="10" t="s">
        <v>815</v>
      </c>
      <c r="D345" s="10" t="n">
        <v>50436355</v>
      </c>
      <c r="E345" s="10" t="s">
        <v>293</v>
      </c>
      <c r="F345" s="10" t="s">
        <v>507</v>
      </c>
      <c r="G345" s="10" t="s">
        <v>816</v>
      </c>
      <c r="H345" s="10" t="s">
        <v>817</v>
      </c>
      <c r="I345" s="10" t="s">
        <v>82</v>
      </c>
      <c r="J345" s="10" t="s">
        <v>297</v>
      </c>
      <c r="K345" s="10" t="s">
        <v>818</v>
      </c>
      <c r="L345" s="10" t="n">
        <v>1431</v>
      </c>
      <c r="M345" s="10" t="s">
        <v>819</v>
      </c>
      <c r="N345" s="10" t="s">
        <v>820</v>
      </c>
      <c r="O345" s="10" t="n">
        <v>1158036639</v>
      </c>
      <c r="P345" s="10" t="s">
        <v>821</v>
      </c>
      <c r="Q345" s="10"/>
      <c r="R345" s="10"/>
      <c r="S345" s="10"/>
      <c r="T345" s="10"/>
      <c r="U345" s="10"/>
      <c r="V345" s="10" t="n">
        <v>3</v>
      </c>
      <c r="W345" s="10" t="n">
        <v>2</v>
      </c>
      <c r="X345" s="10" t="s">
        <v>71</v>
      </c>
      <c r="Y345" s="10" t="s">
        <v>72</v>
      </c>
      <c r="Z345" s="10" t="s">
        <v>73</v>
      </c>
      <c r="AA345" s="13" t="s">
        <v>822</v>
      </c>
      <c r="AB345" s="13" t="s">
        <v>695</v>
      </c>
      <c r="AC345" s="10"/>
      <c r="AD345" s="10"/>
      <c r="AE345" s="10"/>
      <c r="AF345" s="10"/>
    </row>
    <row r="346" customFormat="false" ht="15.75" hidden="false" customHeight="false" outlineLevel="0" collapsed="false">
      <c r="A346" s="11" t="n">
        <v>46134.3908173032</v>
      </c>
      <c r="B346" s="10" t="s">
        <v>823</v>
      </c>
      <c r="C346" s="10" t="s">
        <v>824</v>
      </c>
      <c r="D346" s="10" t="n">
        <v>50131108</v>
      </c>
      <c r="E346" s="10" t="s">
        <v>107</v>
      </c>
      <c r="F346" s="10" t="s">
        <v>825</v>
      </c>
      <c r="G346" s="10" t="s">
        <v>826</v>
      </c>
      <c r="H346" s="10" t="s">
        <v>827</v>
      </c>
      <c r="I346" s="10" t="s">
        <v>82</v>
      </c>
      <c r="J346" s="10" t="s">
        <v>828</v>
      </c>
      <c r="K346" s="10" t="s">
        <v>829</v>
      </c>
      <c r="L346" s="10" t="n">
        <v>1429</v>
      </c>
      <c r="M346" s="10" t="s">
        <v>830</v>
      </c>
      <c r="N346" s="10" t="s">
        <v>831</v>
      </c>
      <c r="O346" s="10" t="n">
        <v>1165713244</v>
      </c>
      <c r="P346" s="10" t="s">
        <v>832</v>
      </c>
      <c r="Q346" s="10"/>
      <c r="R346" s="10"/>
      <c r="S346" s="10"/>
      <c r="T346" s="10"/>
      <c r="U346" s="10" t="s">
        <v>833</v>
      </c>
      <c r="V346" s="10" t="n">
        <v>4</v>
      </c>
      <c r="W346" s="10" t="n">
        <v>1</v>
      </c>
      <c r="X346" s="10" t="s">
        <v>71</v>
      </c>
      <c r="Y346" s="10" t="s">
        <v>90</v>
      </c>
      <c r="Z346" s="10" t="s">
        <v>627</v>
      </c>
      <c r="AA346" s="13" t="s">
        <v>834</v>
      </c>
      <c r="AB346" s="13" t="s">
        <v>695</v>
      </c>
      <c r="AC346" s="10"/>
      <c r="AD346" s="10"/>
      <c r="AE346" s="10"/>
      <c r="AF346" s="10"/>
    </row>
    <row r="347" customFormat="false" ht="15.75" hidden="false" customHeight="false" outlineLevel="0" collapsed="false">
      <c r="A347" s="11" t="n">
        <v>46135.7108504167</v>
      </c>
      <c r="B347" s="10" t="s">
        <v>835</v>
      </c>
      <c r="C347" s="10" t="s">
        <v>836</v>
      </c>
      <c r="D347" s="10" t="n">
        <v>32737244</v>
      </c>
      <c r="E347" s="10" t="s">
        <v>215</v>
      </c>
      <c r="F347" s="10" t="s">
        <v>837</v>
      </c>
      <c r="G347" s="10" t="s">
        <v>838</v>
      </c>
      <c r="H347" s="10" t="s">
        <v>838</v>
      </c>
      <c r="I347" s="10" t="s">
        <v>82</v>
      </c>
      <c r="J347" s="10" t="s">
        <v>63</v>
      </c>
      <c r="K347" s="10" t="s">
        <v>571</v>
      </c>
      <c r="L347" s="10" t="n">
        <v>1429</v>
      </c>
      <c r="M347" s="10" t="s">
        <v>229</v>
      </c>
      <c r="N347" s="10" t="s">
        <v>229</v>
      </c>
      <c r="O347" s="10" t="n">
        <v>1160110011</v>
      </c>
      <c r="P347" s="10" t="s">
        <v>838</v>
      </c>
      <c r="Q347" s="10"/>
      <c r="R347" s="10"/>
      <c r="S347" s="10"/>
      <c r="T347" s="10"/>
      <c r="U347" s="10"/>
      <c r="V347" s="10" t="n">
        <v>4</v>
      </c>
      <c r="W347" s="10" t="n">
        <v>1</v>
      </c>
      <c r="X347" s="10" t="s">
        <v>198</v>
      </c>
      <c r="Y347" s="10" t="s">
        <v>132</v>
      </c>
      <c r="Z347" s="10" t="s">
        <v>839</v>
      </c>
      <c r="AA347" s="13" t="s">
        <v>840</v>
      </c>
      <c r="AB347" s="13" t="s">
        <v>695</v>
      </c>
      <c r="AC347" s="10"/>
      <c r="AD347" s="10"/>
      <c r="AE347" s="10"/>
      <c r="AF347" s="10"/>
    </row>
    <row r="348" customFormat="false" ht="15.75" hidden="false" customHeight="false" outlineLevel="0" collapsed="false">
      <c r="A348" s="11" t="n">
        <v>46154.8201865857</v>
      </c>
      <c r="B348" s="10" t="s">
        <v>841</v>
      </c>
      <c r="C348" s="10" t="s">
        <v>842</v>
      </c>
      <c r="D348" s="10" t="n">
        <v>95940522</v>
      </c>
      <c r="E348" s="10" t="s">
        <v>843</v>
      </c>
      <c r="F348" s="12" t="n">
        <v>39549</v>
      </c>
      <c r="G348" s="10" t="s">
        <v>844</v>
      </c>
      <c r="H348" s="10" t="s">
        <v>844</v>
      </c>
      <c r="I348" s="10" t="s">
        <v>591</v>
      </c>
      <c r="J348" s="10" t="s">
        <v>83</v>
      </c>
      <c r="K348" s="10" t="s">
        <v>845</v>
      </c>
      <c r="L348" s="10" t="n">
        <v>1418</v>
      </c>
      <c r="M348" s="10" t="s">
        <v>515</v>
      </c>
      <c r="N348" s="10" t="s">
        <v>846</v>
      </c>
      <c r="O348" s="10" t="s">
        <v>847</v>
      </c>
      <c r="P348" s="10" t="s">
        <v>847</v>
      </c>
      <c r="Q348" s="10" t="s">
        <v>848</v>
      </c>
      <c r="R348" s="10" t="s">
        <v>849</v>
      </c>
      <c r="S348" s="10" t="s">
        <v>847</v>
      </c>
      <c r="T348" s="10" t="s">
        <v>847</v>
      </c>
      <c r="U348" s="10" t="s">
        <v>167</v>
      </c>
      <c r="V348" s="10" t="n">
        <v>5</v>
      </c>
      <c r="W348" s="10" t="n">
        <v>1</v>
      </c>
      <c r="X348" s="10" t="s">
        <v>198</v>
      </c>
      <c r="Y348" s="10" t="s">
        <v>90</v>
      </c>
      <c r="Z348" s="10" t="s">
        <v>850</v>
      </c>
      <c r="AA348" s="13" t="s">
        <v>851</v>
      </c>
      <c r="AB348" s="13" t="s">
        <v>695</v>
      </c>
      <c r="AC348" s="10"/>
      <c r="AD348" s="10"/>
      <c r="AE348" s="10"/>
      <c r="AF348" s="10"/>
    </row>
    <row r="349" customFormat="false" ht="15.75" hidden="false" customHeight="false" outlineLevel="0" collapsed="false">
      <c r="A349" s="11" t="n">
        <v>46120.4554204514</v>
      </c>
      <c r="B349" s="10" t="s">
        <v>852</v>
      </c>
      <c r="C349" s="10" t="s">
        <v>853</v>
      </c>
      <c r="D349" s="10" t="n">
        <v>51340158</v>
      </c>
      <c r="E349" s="10" t="s">
        <v>60</v>
      </c>
      <c r="F349" s="10" t="s">
        <v>854</v>
      </c>
      <c r="G349" s="10" t="s">
        <v>855</v>
      </c>
      <c r="H349" s="10" t="s">
        <v>855</v>
      </c>
      <c r="I349" s="10" t="s">
        <v>856</v>
      </c>
      <c r="J349" s="10" t="s">
        <v>395</v>
      </c>
      <c r="K349" s="10" t="s">
        <v>396</v>
      </c>
      <c r="L349" s="10" t="s">
        <v>397</v>
      </c>
      <c r="M349" s="10" t="s">
        <v>857</v>
      </c>
      <c r="N349" s="10" t="s">
        <v>858</v>
      </c>
      <c r="O349" s="10" t="n">
        <v>1133413440</v>
      </c>
      <c r="P349" s="10" t="s">
        <v>859</v>
      </c>
      <c r="Q349" s="10" t="s">
        <v>860</v>
      </c>
      <c r="R349" s="10"/>
      <c r="S349" s="10" t="n">
        <v>1132439792</v>
      </c>
      <c r="T349" s="10"/>
      <c r="U349" s="10"/>
      <c r="V349" s="10" t="n">
        <v>2</v>
      </c>
      <c r="W349" s="10" t="n">
        <v>6</v>
      </c>
      <c r="X349" s="10" t="s">
        <v>71</v>
      </c>
      <c r="Y349" s="10" t="s">
        <v>72</v>
      </c>
      <c r="Z349" s="10" t="s">
        <v>404</v>
      </c>
      <c r="AA349" s="13" t="s">
        <v>861</v>
      </c>
      <c r="AB349" s="13" t="s">
        <v>695</v>
      </c>
      <c r="AC349" s="10"/>
      <c r="AD349" s="10"/>
      <c r="AE349" s="10"/>
      <c r="AF349" s="10"/>
    </row>
    <row r="350" customFormat="false" ht="15.75" hidden="false" customHeight="false" outlineLevel="0" collapsed="false">
      <c r="A350" s="11" t="n">
        <v>46113.8422630208</v>
      </c>
      <c r="B350" s="10" t="s">
        <v>862</v>
      </c>
      <c r="C350" s="10" t="s">
        <v>863</v>
      </c>
      <c r="D350" s="10" t="n">
        <v>51399696</v>
      </c>
      <c r="E350" s="10" t="s">
        <v>864</v>
      </c>
      <c r="F350" s="12" t="n">
        <v>40825</v>
      </c>
      <c r="G350" s="10" t="s">
        <v>865</v>
      </c>
      <c r="H350" s="10" t="s">
        <v>866</v>
      </c>
      <c r="I350" s="10" t="s">
        <v>864</v>
      </c>
      <c r="J350" s="10" t="s">
        <v>864</v>
      </c>
      <c r="K350" s="10" t="s">
        <v>864</v>
      </c>
      <c r="L350" s="10" t="n">
        <v>0</v>
      </c>
      <c r="M350" s="10" t="s">
        <v>867</v>
      </c>
      <c r="N350" s="10" t="s">
        <v>864</v>
      </c>
      <c r="O350" s="10" t="n">
        <v>1132945039</v>
      </c>
      <c r="P350" s="10" t="s">
        <v>868</v>
      </c>
      <c r="Q350" s="10" t="s">
        <v>869</v>
      </c>
      <c r="R350" s="10"/>
      <c r="S350" s="10"/>
      <c r="T350" s="10"/>
      <c r="U350" s="10" t="s">
        <v>864</v>
      </c>
      <c r="V350" s="10" t="n">
        <v>2</v>
      </c>
      <c r="W350" s="10" t="n">
        <v>3</v>
      </c>
      <c r="X350" s="10" t="s">
        <v>71</v>
      </c>
      <c r="Y350" s="10" t="s">
        <v>72</v>
      </c>
      <c r="Z350" s="10" t="s">
        <v>289</v>
      </c>
      <c r="AA350" s="13" t="s">
        <v>870</v>
      </c>
      <c r="AB350" s="13" t="s">
        <v>695</v>
      </c>
      <c r="AC350" s="10"/>
      <c r="AD350" s="10"/>
      <c r="AE350" s="10"/>
      <c r="AF350" s="10"/>
    </row>
    <row r="351" customFormat="false" ht="15.75" hidden="false" customHeight="false" outlineLevel="0" collapsed="false">
      <c r="A351" s="11" t="n">
        <v>46113.8475172222</v>
      </c>
      <c r="B351" s="10" t="s">
        <v>871</v>
      </c>
      <c r="C351" s="10" t="s">
        <v>872</v>
      </c>
      <c r="D351" s="10" t="n">
        <v>52440517</v>
      </c>
      <c r="E351" s="10" t="s">
        <v>95</v>
      </c>
      <c r="F351" s="10" t="s">
        <v>873</v>
      </c>
      <c r="G351" s="10" t="s">
        <v>874</v>
      </c>
      <c r="H351" s="10" t="s">
        <v>875</v>
      </c>
      <c r="I351" s="10" t="s">
        <v>63</v>
      </c>
      <c r="J351" s="10" t="s">
        <v>876</v>
      </c>
      <c r="K351" s="10" t="s">
        <v>877</v>
      </c>
      <c r="L351" s="10" t="n">
        <v>142</v>
      </c>
      <c r="M351" s="10" t="s">
        <v>878</v>
      </c>
      <c r="N351" s="10" t="s">
        <v>879</v>
      </c>
      <c r="O351" s="10" t="n">
        <v>1140791935</v>
      </c>
      <c r="P351" s="10" t="s">
        <v>880</v>
      </c>
      <c r="Q351" s="10" t="s">
        <v>881</v>
      </c>
      <c r="R351" s="10"/>
      <c r="S351" s="10"/>
      <c r="T351" s="10"/>
      <c r="U351" s="10"/>
      <c r="V351" s="10" t="n">
        <v>2</v>
      </c>
      <c r="W351" s="10" t="n">
        <v>3</v>
      </c>
      <c r="X351" s="10" t="s">
        <v>71</v>
      </c>
      <c r="Y351" s="10" t="s">
        <v>72</v>
      </c>
      <c r="Z351" s="10" t="s">
        <v>329</v>
      </c>
      <c r="AA351" s="13" t="s">
        <v>882</v>
      </c>
      <c r="AB351" s="13" t="s">
        <v>695</v>
      </c>
      <c r="AC351" s="10"/>
      <c r="AD351" s="10"/>
      <c r="AE351" s="10"/>
      <c r="AF351" s="10"/>
    </row>
    <row r="352" customFormat="false" ht="15.75" hidden="false" customHeight="false" outlineLevel="0" collapsed="false">
      <c r="A352" s="11" t="n">
        <v>46126.7083197338</v>
      </c>
      <c r="B352" s="10" t="s">
        <v>883</v>
      </c>
      <c r="C352" s="10" t="s">
        <v>468</v>
      </c>
      <c r="D352" s="10" t="n">
        <v>52454981</v>
      </c>
      <c r="E352" s="10" t="s">
        <v>469</v>
      </c>
      <c r="F352" s="10" t="s">
        <v>884</v>
      </c>
      <c r="G352" s="10" t="s">
        <v>885</v>
      </c>
      <c r="H352" s="10" t="s">
        <v>885</v>
      </c>
      <c r="I352" s="10" t="s">
        <v>82</v>
      </c>
      <c r="J352" s="10" t="s">
        <v>338</v>
      </c>
      <c r="K352" s="10" t="s">
        <v>338</v>
      </c>
      <c r="L352" s="10" t="s">
        <v>338</v>
      </c>
      <c r="M352" s="10" t="s">
        <v>338</v>
      </c>
      <c r="N352" s="10" t="s">
        <v>338</v>
      </c>
      <c r="O352" s="10" t="s">
        <v>338</v>
      </c>
      <c r="P352" s="10" t="s">
        <v>338</v>
      </c>
      <c r="Q352" s="10"/>
      <c r="R352" s="10"/>
      <c r="S352" s="10"/>
      <c r="T352" s="10"/>
      <c r="U352" s="10"/>
      <c r="V352" s="10" t="n">
        <v>2</v>
      </c>
      <c r="W352" s="10" t="n">
        <v>4</v>
      </c>
      <c r="X352" s="10" t="s">
        <v>71</v>
      </c>
      <c r="Y352" s="10" t="s">
        <v>72</v>
      </c>
      <c r="Z352" s="10" t="s">
        <v>341</v>
      </c>
      <c r="AA352" s="13" t="s">
        <v>886</v>
      </c>
      <c r="AB352" s="13" t="s">
        <v>695</v>
      </c>
      <c r="AC352" s="10"/>
      <c r="AD352" s="10"/>
      <c r="AE352" s="10"/>
      <c r="AF352" s="10"/>
    </row>
    <row r="353" customFormat="false" ht="15.75" hidden="false" customHeight="false" outlineLevel="0" collapsed="false">
      <c r="A353" s="11" t="n">
        <v>46137.0695532639</v>
      </c>
      <c r="B353" s="10" t="s">
        <v>887</v>
      </c>
      <c r="C353" s="10" t="s">
        <v>888</v>
      </c>
      <c r="D353" s="10" t="n">
        <v>49553816</v>
      </c>
      <c r="E353" s="10" t="s">
        <v>107</v>
      </c>
      <c r="F353" s="12" t="n">
        <v>40156</v>
      </c>
      <c r="G353" s="10" t="s">
        <v>889</v>
      </c>
      <c r="H353" s="10" t="s">
        <v>98</v>
      </c>
      <c r="I353" s="10" t="s">
        <v>82</v>
      </c>
      <c r="J353" s="10" t="s">
        <v>890</v>
      </c>
      <c r="K353" s="10" t="s">
        <v>891</v>
      </c>
      <c r="L353" s="10" t="n">
        <v>1427</v>
      </c>
      <c r="M353" s="10" t="s">
        <v>429</v>
      </c>
      <c r="N353" s="10" t="s">
        <v>892</v>
      </c>
      <c r="O353" s="10" t="e">
        <f aca="false">#error!</f>
        <v>#NAME?</v>
      </c>
      <c r="P353" s="10" t="s">
        <v>893</v>
      </c>
      <c r="Q353" s="10"/>
      <c r="R353" s="10"/>
      <c r="S353" s="10"/>
      <c r="T353" s="10"/>
      <c r="U353" s="10"/>
      <c r="V353" s="10" t="n">
        <v>3</v>
      </c>
      <c r="W353" s="10" t="n">
        <v>4</v>
      </c>
      <c r="X353" s="10" t="s">
        <v>198</v>
      </c>
      <c r="Y353" s="10" t="s">
        <v>72</v>
      </c>
      <c r="Z353" s="10" t="s">
        <v>681</v>
      </c>
      <c r="AA353" s="13" t="s">
        <v>894</v>
      </c>
      <c r="AB353" s="13" t="s">
        <v>695</v>
      </c>
      <c r="AC353" s="10"/>
      <c r="AD353" s="10"/>
      <c r="AE353" s="10"/>
      <c r="AF353" s="10"/>
    </row>
    <row r="354" customFormat="false" ht="15.75" hidden="false" customHeight="false" outlineLevel="0" collapsed="false">
      <c r="A354" s="11" t="n">
        <v>46134.7682554977</v>
      </c>
      <c r="B354" s="10" t="s">
        <v>895</v>
      </c>
      <c r="C354" s="10" t="s">
        <v>896</v>
      </c>
      <c r="D354" s="10" t="n">
        <v>49006631</v>
      </c>
      <c r="E354" s="10" t="s">
        <v>293</v>
      </c>
      <c r="F354" s="10"/>
      <c r="G354" s="10" t="s">
        <v>897</v>
      </c>
      <c r="H354" s="10" t="s">
        <v>898</v>
      </c>
      <c r="I354" s="10" t="s">
        <v>82</v>
      </c>
      <c r="J354" s="10" t="s">
        <v>899</v>
      </c>
      <c r="K354" s="10" t="s">
        <v>900</v>
      </c>
      <c r="L354" s="10" t="n">
        <v>1430</v>
      </c>
      <c r="M354" s="10" t="s">
        <v>901</v>
      </c>
      <c r="N354" s="10" t="s">
        <v>902</v>
      </c>
      <c r="O354" s="10" t="s">
        <v>903</v>
      </c>
      <c r="P354" s="10" t="s">
        <v>904</v>
      </c>
      <c r="Q354" s="10" t="s">
        <v>905</v>
      </c>
      <c r="R354" s="10" t="s">
        <v>906</v>
      </c>
      <c r="S354" s="10" t="s">
        <v>907</v>
      </c>
      <c r="T354" s="10" t="s">
        <v>908</v>
      </c>
      <c r="U354" s="10"/>
      <c r="V354" s="10" t="n">
        <v>5</v>
      </c>
      <c r="W354" s="10" t="n">
        <v>1</v>
      </c>
      <c r="X354" s="10" t="s">
        <v>71</v>
      </c>
      <c r="Y354" s="10" t="s">
        <v>90</v>
      </c>
      <c r="Z354" s="10" t="s">
        <v>73</v>
      </c>
      <c r="AA354" s="13" t="s">
        <v>909</v>
      </c>
      <c r="AB354" s="13" t="s">
        <v>695</v>
      </c>
      <c r="AC354" s="10"/>
      <c r="AD354" s="10"/>
      <c r="AE354" s="10"/>
      <c r="AF354" s="10"/>
    </row>
    <row r="355" customFormat="false" ht="15.75" hidden="false" customHeight="false" outlineLevel="0" collapsed="false">
      <c r="A355" s="11" t="n">
        <v>46113.8507591551</v>
      </c>
      <c r="B355" s="10" t="s">
        <v>895</v>
      </c>
      <c r="C355" s="10" t="s">
        <v>910</v>
      </c>
      <c r="D355" s="10" t="n">
        <v>51390771</v>
      </c>
      <c r="E355" s="10" t="s">
        <v>95</v>
      </c>
      <c r="F355" s="10" t="s">
        <v>911</v>
      </c>
      <c r="G355" s="10" t="s">
        <v>912</v>
      </c>
      <c r="H355" s="10" t="s">
        <v>913</v>
      </c>
      <c r="I355" s="10" t="s">
        <v>63</v>
      </c>
      <c r="J355" s="10" t="s">
        <v>914</v>
      </c>
      <c r="K355" s="10" t="s">
        <v>915</v>
      </c>
      <c r="L355" s="10" t="n">
        <v>1430</v>
      </c>
      <c r="M355" s="10" t="s">
        <v>916</v>
      </c>
      <c r="N355" s="10" t="s">
        <v>917</v>
      </c>
      <c r="O355" s="10" t="s">
        <v>918</v>
      </c>
      <c r="P355" s="10" t="s">
        <v>919</v>
      </c>
      <c r="Q355" s="10"/>
      <c r="R355" s="10"/>
      <c r="S355" s="10"/>
      <c r="T355" s="10"/>
      <c r="U355" s="10" t="s">
        <v>626</v>
      </c>
      <c r="V355" s="10" t="n">
        <v>2</v>
      </c>
      <c r="W355" s="10" t="n">
        <v>3</v>
      </c>
      <c r="X355" s="10" t="s">
        <v>71</v>
      </c>
      <c r="Y355" s="10" t="s">
        <v>72</v>
      </c>
      <c r="Z355" s="10" t="s">
        <v>308</v>
      </c>
      <c r="AA355" s="13" t="s">
        <v>920</v>
      </c>
      <c r="AB355" s="13" t="s">
        <v>695</v>
      </c>
      <c r="AC355" s="10"/>
      <c r="AD355" s="10"/>
      <c r="AE355" s="10"/>
      <c r="AF355" s="10"/>
    </row>
    <row r="356" customFormat="false" ht="15.75" hidden="false" customHeight="false" outlineLevel="0" collapsed="false">
      <c r="A356" s="11" t="n">
        <v>46154.8153870833</v>
      </c>
      <c r="B356" s="10" t="s">
        <v>921</v>
      </c>
      <c r="C356" s="10" t="s">
        <v>922</v>
      </c>
      <c r="D356" s="10" t="n">
        <v>47345263</v>
      </c>
      <c r="E356" s="10" t="s">
        <v>107</v>
      </c>
      <c r="F356" s="12" t="n">
        <v>39028</v>
      </c>
      <c r="G356" s="10" t="s">
        <v>923</v>
      </c>
      <c r="H356" s="10" t="s">
        <v>923</v>
      </c>
      <c r="I356" s="10" t="s">
        <v>242</v>
      </c>
      <c r="J356" s="10" t="s">
        <v>924</v>
      </c>
      <c r="K356" s="10" t="s">
        <v>925</v>
      </c>
      <c r="L356" s="10" t="n">
        <v>1603</v>
      </c>
      <c r="M356" s="10" t="s">
        <v>414</v>
      </c>
      <c r="N356" s="10" t="s">
        <v>926</v>
      </c>
      <c r="O356" s="10" t="n">
        <v>1130712583</v>
      </c>
      <c r="P356" s="10" t="s">
        <v>927</v>
      </c>
      <c r="Q356" s="10"/>
      <c r="R356" s="10"/>
      <c r="S356" s="10"/>
      <c r="T356" s="10"/>
      <c r="U356" s="10"/>
      <c r="V356" s="10" t="n">
        <v>6</v>
      </c>
      <c r="W356" s="10" t="n">
        <v>1</v>
      </c>
      <c r="X356" s="10" t="s">
        <v>198</v>
      </c>
      <c r="Y356" s="10" t="s">
        <v>90</v>
      </c>
      <c r="Z356" s="10" t="s">
        <v>928</v>
      </c>
      <c r="AA356" s="13" t="s">
        <v>929</v>
      </c>
      <c r="AB356" s="13" t="s">
        <v>695</v>
      </c>
      <c r="AC356" s="10"/>
      <c r="AD356" s="10"/>
      <c r="AE356" s="10"/>
      <c r="AF356" s="10"/>
    </row>
    <row r="357" customFormat="false" ht="15.75" hidden="false" customHeight="false" outlineLevel="0" collapsed="false">
      <c r="A357" s="11" t="n">
        <v>46141.4786914236</v>
      </c>
      <c r="B357" s="10" t="s">
        <v>930</v>
      </c>
      <c r="C357" s="10" t="s">
        <v>931</v>
      </c>
      <c r="D357" s="10" t="n">
        <v>48521225</v>
      </c>
      <c r="E357" s="10" t="s">
        <v>107</v>
      </c>
      <c r="F357" s="10" t="s">
        <v>932</v>
      </c>
      <c r="G357" s="10" t="s">
        <v>933</v>
      </c>
      <c r="H357" s="10" t="s">
        <v>98</v>
      </c>
      <c r="I357" s="10" t="s">
        <v>934</v>
      </c>
      <c r="J357" s="10" t="s">
        <v>395</v>
      </c>
      <c r="K357" s="10" t="s">
        <v>935</v>
      </c>
      <c r="L357" s="10" t="n">
        <v>1636</v>
      </c>
      <c r="M357" s="10" t="s">
        <v>936</v>
      </c>
      <c r="N357" s="10" t="s">
        <v>937</v>
      </c>
      <c r="O357" s="10" t="e">
        <f aca="false">#error!</f>
        <v>#NAME?</v>
      </c>
      <c r="P357" s="10" t="s">
        <v>938</v>
      </c>
      <c r="Q357" s="10"/>
      <c r="R357" s="10"/>
      <c r="S357" s="10"/>
      <c r="T357" s="10"/>
      <c r="U357" s="10"/>
      <c r="V357" s="10" t="n">
        <v>6</v>
      </c>
      <c r="W357" s="10" t="n">
        <v>1</v>
      </c>
      <c r="X357" s="10" t="s">
        <v>71</v>
      </c>
      <c r="Y357" s="10" t="s">
        <v>90</v>
      </c>
      <c r="Z357" s="10" t="s">
        <v>319</v>
      </c>
      <c r="AA357" s="13" t="s">
        <v>939</v>
      </c>
      <c r="AB357" s="13" t="s">
        <v>695</v>
      </c>
      <c r="AC357" s="10"/>
      <c r="AD357" s="10"/>
      <c r="AE357" s="10"/>
      <c r="AF357" s="10"/>
    </row>
    <row r="358" customFormat="false" ht="15.75" hidden="false" customHeight="false" outlineLevel="0" collapsed="false">
      <c r="A358" s="11" t="n">
        <v>46133.7219143982</v>
      </c>
      <c r="B358" s="10" t="s">
        <v>940</v>
      </c>
      <c r="C358" s="10" t="s">
        <v>941</v>
      </c>
      <c r="D358" s="10" t="n">
        <v>51340189</v>
      </c>
      <c r="E358" s="10" t="s">
        <v>293</v>
      </c>
      <c r="F358" s="12" t="n">
        <v>40858</v>
      </c>
      <c r="G358" s="10" t="s">
        <v>942</v>
      </c>
      <c r="H358" s="10" t="s">
        <v>676</v>
      </c>
      <c r="I358" s="10" t="s">
        <v>943</v>
      </c>
      <c r="J358" s="10" t="s">
        <v>943</v>
      </c>
      <c r="K358" s="10" t="s">
        <v>943</v>
      </c>
      <c r="L358" s="10" t="s">
        <v>943</v>
      </c>
      <c r="M358" s="10" t="s">
        <v>944</v>
      </c>
      <c r="N358" s="10" t="s">
        <v>940</v>
      </c>
      <c r="O358" s="10" t="s">
        <v>945</v>
      </c>
      <c r="P358" s="10" t="s">
        <v>946</v>
      </c>
      <c r="Q358" s="10"/>
      <c r="R358" s="10"/>
      <c r="S358" s="10"/>
      <c r="T358" s="10"/>
      <c r="U358" s="10"/>
      <c r="V358" s="10" t="n">
        <v>2</v>
      </c>
      <c r="W358" s="10" t="n">
        <v>2</v>
      </c>
      <c r="X358" s="10" t="s">
        <v>71</v>
      </c>
      <c r="Y358" s="10" t="s">
        <v>72</v>
      </c>
      <c r="Z358" s="10" t="s">
        <v>168</v>
      </c>
      <c r="AA358" s="13" t="s">
        <v>947</v>
      </c>
      <c r="AB358" s="13" t="s">
        <v>695</v>
      </c>
      <c r="AC358" s="10"/>
      <c r="AD358" s="10"/>
      <c r="AE358" s="10"/>
      <c r="AF358" s="10"/>
    </row>
    <row r="359" customFormat="false" ht="15.75" hidden="false" customHeight="false" outlineLevel="0" collapsed="false">
      <c r="A359" s="11" t="n">
        <v>46127.6614858333</v>
      </c>
      <c r="B359" s="10" t="s">
        <v>948</v>
      </c>
      <c r="C359" s="10" t="s">
        <v>949</v>
      </c>
      <c r="D359" s="10" t="n">
        <v>50291573</v>
      </c>
      <c r="E359" s="10" t="s">
        <v>107</v>
      </c>
      <c r="F359" s="10" t="s">
        <v>950</v>
      </c>
      <c r="G359" s="10" t="s">
        <v>951</v>
      </c>
      <c r="H359" s="10" t="s">
        <v>952</v>
      </c>
      <c r="I359" s="10" t="s">
        <v>82</v>
      </c>
      <c r="J359" s="10" t="s">
        <v>828</v>
      </c>
      <c r="K359" s="10" t="s">
        <v>953</v>
      </c>
      <c r="L359" s="10" t="n">
        <v>1417</v>
      </c>
      <c r="M359" s="10" t="s">
        <v>954</v>
      </c>
      <c r="N359" s="10" t="s">
        <v>955</v>
      </c>
      <c r="O359" s="10" t="n">
        <v>1158564586</v>
      </c>
      <c r="P359" s="10" t="s">
        <v>956</v>
      </c>
      <c r="Q359" s="10" t="s">
        <v>131</v>
      </c>
      <c r="R359" s="10" t="s">
        <v>131</v>
      </c>
      <c r="S359" s="10" t="s">
        <v>131</v>
      </c>
      <c r="T359" s="10" t="s">
        <v>131</v>
      </c>
      <c r="U359" s="10" t="s">
        <v>957</v>
      </c>
      <c r="V359" s="10" t="n">
        <v>3</v>
      </c>
      <c r="W359" s="10" t="n">
        <v>5</v>
      </c>
      <c r="X359" s="10" t="s">
        <v>71</v>
      </c>
      <c r="Y359" s="10" t="s">
        <v>72</v>
      </c>
      <c r="Z359" s="10" t="s">
        <v>766</v>
      </c>
      <c r="AA359" s="13" t="s">
        <v>958</v>
      </c>
      <c r="AB359" s="13" t="s">
        <v>695</v>
      </c>
      <c r="AC359" s="10"/>
      <c r="AD359" s="10"/>
      <c r="AE359" s="10"/>
      <c r="AF359" s="10"/>
    </row>
    <row r="360" customFormat="false" ht="15.75" hidden="false" customHeight="false" outlineLevel="0" collapsed="false">
      <c r="A360" s="11" t="n">
        <v>46113.6083421296</v>
      </c>
      <c r="B360" s="10" t="s">
        <v>959</v>
      </c>
      <c r="C360" s="10" t="s">
        <v>960</v>
      </c>
      <c r="D360" s="10" t="n">
        <v>52644520</v>
      </c>
      <c r="E360" s="10" t="s">
        <v>323</v>
      </c>
      <c r="F360" s="10" t="s">
        <v>961</v>
      </c>
      <c r="G360" s="10" t="s">
        <v>962</v>
      </c>
      <c r="H360" s="10" t="s">
        <v>963</v>
      </c>
      <c r="I360" s="10" t="s">
        <v>323</v>
      </c>
      <c r="J360" s="10" t="s">
        <v>323</v>
      </c>
      <c r="K360" s="10" t="s">
        <v>323</v>
      </c>
      <c r="L360" s="10" t="s">
        <v>323</v>
      </c>
      <c r="M360" s="10" t="s">
        <v>964</v>
      </c>
      <c r="N360" s="10" t="s">
        <v>965</v>
      </c>
      <c r="O360" s="10" t="n">
        <v>1165669684</v>
      </c>
      <c r="P360" s="10" t="s">
        <v>966</v>
      </c>
      <c r="Q360" s="10"/>
      <c r="R360" s="10"/>
      <c r="S360" s="10"/>
      <c r="T360" s="10"/>
      <c r="U360" s="10"/>
      <c r="V360" s="10" t="n">
        <v>1</v>
      </c>
      <c r="W360" s="10" t="n">
        <v>5</v>
      </c>
      <c r="X360" s="10" t="s">
        <v>71</v>
      </c>
      <c r="Y360" s="10" t="s">
        <v>72</v>
      </c>
      <c r="Z360" s="10" t="s">
        <v>794</v>
      </c>
      <c r="AA360" s="13" t="s">
        <v>967</v>
      </c>
      <c r="AB360" s="13" t="s">
        <v>695</v>
      </c>
      <c r="AC360" s="10"/>
      <c r="AD360" s="10"/>
      <c r="AE360" s="10"/>
      <c r="AF360" s="10"/>
    </row>
    <row r="361" customFormat="false" ht="15.75" hidden="false" customHeight="false" outlineLevel="0" collapsed="false">
      <c r="A361" s="11" t="n">
        <v>46182.8486034028</v>
      </c>
      <c r="B361" s="10" t="s">
        <v>968</v>
      </c>
      <c r="C361" s="10" t="s">
        <v>969</v>
      </c>
      <c r="D361" s="10" t="n">
        <v>44482534</v>
      </c>
      <c r="E361" s="10" t="s">
        <v>107</v>
      </c>
      <c r="F361" s="10" t="s">
        <v>970</v>
      </c>
      <c r="G361" s="10" t="s">
        <v>971</v>
      </c>
      <c r="H361" s="10" t="s">
        <v>972</v>
      </c>
      <c r="I361" s="10" t="s">
        <v>973</v>
      </c>
      <c r="J361" s="10" t="s">
        <v>974</v>
      </c>
      <c r="K361" s="10" t="s">
        <v>975</v>
      </c>
      <c r="L361" s="10" t="n">
        <v>1623</v>
      </c>
      <c r="M361" s="10" t="s">
        <v>969</v>
      </c>
      <c r="N361" s="10" t="s">
        <v>968</v>
      </c>
      <c r="O361" s="10" t="n">
        <v>1141784857</v>
      </c>
      <c r="P361" s="10" t="s">
        <v>972</v>
      </c>
      <c r="Q361" s="10"/>
      <c r="R361" s="10"/>
      <c r="S361" s="10"/>
      <c r="T361" s="10"/>
      <c r="U361" s="10"/>
      <c r="V361" s="10" t="n">
        <v>6</v>
      </c>
      <c r="W361" s="10" t="n">
        <v>2</v>
      </c>
      <c r="X361" s="10" t="s">
        <v>198</v>
      </c>
      <c r="Y361" s="10" t="s">
        <v>132</v>
      </c>
      <c r="Z361" s="10" t="s">
        <v>976</v>
      </c>
      <c r="AA361" s="13" t="s">
        <v>977</v>
      </c>
      <c r="AB361" s="13" t="s">
        <v>695</v>
      </c>
      <c r="AC361" s="10"/>
      <c r="AD361" s="10"/>
      <c r="AE361" s="10"/>
      <c r="AF361" s="10"/>
    </row>
    <row r="362" customFormat="false" ht="15.75" hidden="false" customHeight="false" outlineLevel="0" collapsed="false">
      <c r="A362" s="11" t="n">
        <v>46127.6750376736</v>
      </c>
      <c r="B362" s="10" t="s">
        <v>978</v>
      </c>
      <c r="C362" s="10" t="s">
        <v>979</v>
      </c>
      <c r="D362" s="10" t="n">
        <v>50416595</v>
      </c>
      <c r="E362" s="10" t="s">
        <v>60</v>
      </c>
      <c r="F362" s="12" t="n">
        <v>46119</v>
      </c>
      <c r="G362" s="10" t="s">
        <v>980</v>
      </c>
      <c r="H362" s="10" t="s">
        <v>981</v>
      </c>
      <c r="I362" s="10" t="s">
        <v>591</v>
      </c>
      <c r="J362" s="10" t="s">
        <v>982</v>
      </c>
      <c r="K362" s="10" t="s">
        <v>983</v>
      </c>
      <c r="L362" s="10" t="n">
        <v>1419</v>
      </c>
      <c r="M362" s="10" t="s">
        <v>984</v>
      </c>
      <c r="N362" s="10" t="s">
        <v>985</v>
      </c>
      <c r="O362" s="10" t="n">
        <v>1154672230</v>
      </c>
      <c r="P362" s="10" t="s">
        <v>986</v>
      </c>
      <c r="Q362" s="10" t="s">
        <v>987</v>
      </c>
      <c r="R362" s="10" t="s">
        <v>988</v>
      </c>
      <c r="S362" s="10" t="n">
        <v>1156162703</v>
      </c>
      <c r="T362" s="10" t="s">
        <v>989</v>
      </c>
      <c r="U362" s="10"/>
      <c r="V362" s="10" t="n">
        <v>3</v>
      </c>
      <c r="W362" s="10" t="n">
        <v>5</v>
      </c>
      <c r="X362" s="10" t="s">
        <v>71</v>
      </c>
      <c r="Y362" s="10" t="s">
        <v>72</v>
      </c>
      <c r="Z362" s="10" t="s">
        <v>990</v>
      </c>
      <c r="AA362" s="13" t="s">
        <v>991</v>
      </c>
      <c r="AB362" s="13" t="s">
        <v>695</v>
      </c>
      <c r="AC362" s="10"/>
      <c r="AD362" s="10"/>
      <c r="AE362" s="10"/>
      <c r="AF362" s="10"/>
    </row>
    <row r="363" customFormat="false" ht="16.5" hidden="false" customHeight="true" outlineLevel="0" collapsed="false">
      <c r="A363" s="11" t="n">
        <v>46163.8900046528</v>
      </c>
      <c r="B363" s="10" t="s">
        <v>992</v>
      </c>
      <c r="C363" s="10" t="s">
        <v>993</v>
      </c>
      <c r="D363" s="10" t="n">
        <v>44284184</v>
      </c>
      <c r="E363" s="10" t="s">
        <v>293</v>
      </c>
      <c r="F363" s="12" t="n">
        <v>37714</v>
      </c>
      <c r="G363" s="10" t="s">
        <v>994</v>
      </c>
      <c r="H363" s="10" t="s">
        <v>995</v>
      </c>
      <c r="I363" s="10" t="s">
        <v>996</v>
      </c>
      <c r="J363" s="10" t="s">
        <v>997</v>
      </c>
      <c r="K363" s="10" t="s">
        <v>998</v>
      </c>
      <c r="L363" s="10" t="s">
        <v>999</v>
      </c>
      <c r="M363" s="10" t="s">
        <v>993</v>
      </c>
      <c r="N363" s="10" t="s">
        <v>992</v>
      </c>
      <c r="O363" s="10" t="s">
        <v>1000</v>
      </c>
      <c r="P363" s="10" t="s">
        <v>1001</v>
      </c>
      <c r="Q363" s="10"/>
      <c r="R363" s="10"/>
      <c r="S363" s="10"/>
      <c r="T363" s="10"/>
      <c r="U363" s="10"/>
      <c r="V363" s="10" t="n">
        <v>4</v>
      </c>
      <c r="W363" s="10" t="n">
        <v>1</v>
      </c>
      <c r="X363" s="10" t="s">
        <v>198</v>
      </c>
      <c r="Y363" s="10" t="s">
        <v>90</v>
      </c>
      <c r="Z363" s="10" t="s">
        <v>681</v>
      </c>
      <c r="AA363" s="13" t="s">
        <v>1002</v>
      </c>
      <c r="AB363" s="13" t="s">
        <v>695</v>
      </c>
      <c r="AC363" s="10"/>
      <c r="AD363" s="10"/>
      <c r="AE363" s="10"/>
      <c r="AF363" s="10"/>
    </row>
    <row r="364" customFormat="false" ht="15.75" hidden="false" customHeight="false" outlineLevel="0" collapsed="false">
      <c r="A364" s="11" t="n">
        <v>46135.3527460301</v>
      </c>
      <c r="B364" s="10" t="s">
        <v>1003</v>
      </c>
      <c r="C364" s="10" t="s">
        <v>1004</v>
      </c>
      <c r="D364" s="10" t="n">
        <v>50902347</v>
      </c>
      <c r="E364" s="10" t="s">
        <v>95</v>
      </c>
      <c r="F364" s="10" t="s">
        <v>1005</v>
      </c>
      <c r="G364" s="10" t="s">
        <v>1006</v>
      </c>
      <c r="H364" s="10" t="s">
        <v>1007</v>
      </c>
      <c r="I364" s="10" t="s">
        <v>82</v>
      </c>
      <c r="J364" s="10" t="s">
        <v>1008</v>
      </c>
      <c r="K364" s="10" t="s">
        <v>1009</v>
      </c>
      <c r="L364" s="10" t="n">
        <v>1430</v>
      </c>
      <c r="M364" s="10" t="s">
        <v>1010</v>
      </c>
      <c r="N364" s="10" t="s">
        <v>1011</v>
      </c>
      <c r="O364" s="10" t="n">
        <v>56542626</v>
      </c>
      <c r="P364" s="10" t="s">
        <v>1012</v>
      </c>
      <c r="Q364" s="10"/>
      <c r="R364" s="10"/>
      <c r="S364" s="10"/>
      <c r="T364" s="10"/>
      <c r="U364" s="10" t="s">
        <v>146</v>
      </c>
      <c r="V364" s="10" t="n">
        <v>3</v>
      </c>
      <c r="W364" s="10" t="n">
        <v>1</v>
      </c>
      <c r="X364" s="10" t="s">
        <v>71</v>
      </c>
      <c r="Y364" s="10" t="s">
        <v>72</v>
      </c>
      <c r="Z364" s="10" t="s">
        <v>319</v>
      </c>
      <c r="AA364" s="13" t="s">
        <v>1013</v>
      </c>
      <c r="AB364" s="13" t="s">
        <v>695</v>
      </c>
      <c r="AC364" s="10"/>
      <c r="AD364" s="10"/>
      <c r="AE364" s="10"/>
      <c r="AF364" s="10"/>
    </row>
    <row r="365" customFormat="false" ht="15.75" hidden="false" customHeight="false" outlineLevel="0" collapsed="false">
      <c r="A365" s="11" t="n">
        <v>46127.6764781482</v>
      </c>
      <c r="B365" s="10" t="s">
        <v>1014</v>
      </c>
      <c r="C365" s="10" t="s">
        <v>1015</v>
      </c>
      <c r="D365" s="10" t="n">
        <v>50987386</v>
      </c>
      <c r="E365" s="10" t="s">
        <v>293</v>
      </c>
      <c r="F365" s="10" t="s">
        <v>1016</v>
      </c>
      <c r="G365" s="10" t="s">
        <v>1017</v>
      </c>
      <c r="H365" s="10" t="s">
        <v>131</v>
      </c>
      <c r="I365" s="10" t="s">
        <v>1018</v>
      </c>
      <c r="J365" s="10" t="s">
        <v>738</v>
      </c>
      <c r="K365" s="10" t="s">
        <v>1019</v>
      </c>
      <c r="L365" s="10" t="n">
        <v>1602</v>
      </c>
      <c r="M365" s="10" t="s">
        <v>1020</v>
      </c>
      <c r="N365" s="10" t="s">
        <v>1021</v>
      </c>
      <c r="O365" s="10" t="n">
        <v>1151483569</v>
      </c>
      <c r="P365" s="10" t="s">
        <v>1022</v>
      </c>
      <c r="Q365" s="10"/>
      <c r="R365" s="10"/>
      <c r="S365" s="10"/>
      <c r="T365" s="10"/>
      <c r="U365" s="10"/>
      <c r="V365" s="10" t="n">
        <v>3</v>
      </c>
      <c r="W365" s="10" t="n">
        <v>5</v>
      </c>
      <c r="X365" s="10" t="s">
        <v>71</v>
      </c>
      <c r="Y365" s="10" t="s">
        <v>72</v>
      </c>
      <c r="Z365" s="10" t="s">
        <v>766</v>
      </c>
      <c r="AA365" s="13" t="s">
        <v>1023</v>
      </c>
      <c r="AB365" s="13" t="s">
        <v>695</v>
      </c>
      <c r="AC365" s="10"/>
      <c r="AD365" s="10"/>
      <c r="AE365" s="10"/>
      <c r="AF365" s="10"/>
    </row>
    <row r="366" customFormat="false" ht="15.75" hidden="false" customHeight="false" outlineLevel="0" collapsed="false">
      <c r="A366" s="11" t="n">
        <v>46127.8277258681</v>
      </c>
      <c r="B366" s="10" t="s">
        <v>1024</v>
      </c>
      <c r="C366" s="10" t="s">
        <v>311</v>
      </c>
      <c r="D366" s="10" t="n">
        <v>51067632</v>
      </c>
      <c r="E366" s="10" t="s">
        <v>60</v>
      </c>
      <c r="F366" s="10" t="s">
        <v>1025</v>
      </c>
      <c r="G366" s="10" t="s">
        <v>1026</v>
      </c>
      <c r="H366" s="10" t="s">
        <v>131</v>
      </c>
      <c r="I366" s="10" t="s">
        <v>82</v>
      </c>
      <c r="J366" s="10" t="s">
        <v>152</v>
      </c>
      <c r="K366" s="10" t="s">
        <v>1027</v>
      </c>
      <c r="L366" s="10" t="n">
        <v>1430</v>
      </c>
      <c r="M366" s="10" t="s">
        <v>1028</v>
      </c>
      <c r="N366" s="10" t="s">
        <v>1029</v>
      </c>
      <c r="O366" s="10" t="n">
        <v>1144470362</v>
      </c>
      <c r="P366" s="10" t="s">
        <v>1030</v>
      </c>
      <c r="Q366" s="10"/>
      <c r="R366" s="10"/>
      <c r="S366" s="10"/>
      <c r="T366" s="10"/>
      <c r="U366" s="10"/>
      <c r="V366" s="10" t="n">
        <v>3</v>
      </c>
      <c r="W366" s="10" t="n">
        <v>1</v>
      </c>
      <c r="X366" s="10" t="s">
        <v>71</v>
      </c>
      <c r="Y366" s="10" t="s">
        <v>72</v>
      </c>
      <c r="Z366" s="10" t="s">
        <v>168</v>
      </c>
      <c r="AA366" s="13" t="s">
        <v>1031</v>
      </c>
      <c r="AB366" s="13" t="s">
        <v>695</v>
      </c>
      <c r="AC366" s="10"/>
      <c r="AD366" s="10"/>
      <c r="AE366" s="10"/>
      <c r="AF366" s="10"/>
    </row>
    <row r="367" customFormat="false" ht="15.75" hidden="false" customHeight="false" outlineLevel="0" collapsed="false">
      <c r="A367" s="11" t="n">
        <v>46139.6815105093</v>
      </c>
      <c r="B367" s="10" t="s">
        <v>1032</v>
      </c>
      <c r="C367" s="10" t="s">
        <v>1033</v>
      </c>
      <c r="D367" s="10" t="n">
        <v>52698799</v>
      </c>
      <c r="E367" s="10" t="s">
        <v>95</v>
      </c>
      <c r="F367" s="10" t="s">
        <v>1034</v>
      </c>
      <c r="G367" s="10" t="s">
        <v>1035</v>
      </c>
      <c r="H367" s="10" t="s">
        <v>131</v>
      </c>
      <c r="I367" s="10" t="s">
        <v>82</v>
      </c>
      <c r="J367" s="10" t="s">
        <v>82</v>
      </c>
      <c r="K367" s="10" t="s">
        <v>82</v>
      </c>
      <c r="L367" s="10" t="n">
        <v>1430</v>
      </c>
      <c r="M367" s="10" t="s">
        <v>1036</v>
      </c>
      <c r="N367" s="10" t="s">
        <v>1037</v>
      </c>
      <c r="O367" s="10" t="s">
        <v>1038</v>
      </c>
      <c r="P367" s="10" t="s">
        <v>1039</v>
      </c>
      <c r="Q367" s="10"/>
      <c r="R367" s="10"/>
      <c r="S367" s="10"/>
      <c r="T367" s="10"/>
      <c r="U367" s="10"/>
      <c r="V367" s="10" t="n">
        <v>1</v>
      </c>
      <c r="W367" s="10" t="n">
        <v>7</v>
      </c>
      <c r="X367" s="10" t="s">
        <v>71</v>
      </c>
      <c r="Y367" s="10" t="s">
        <v>72</v>
      </c>
      <c r="Z367" s="10" t="s">
        <v>188</v>
      </c>
      <c r="AA367" s="13" t="s">
        <v>1040</v>
      </c>
      <c r="AB367" s="13" t="s">
        <v>1041</v>
      </c>
      <c r="AC367" s="10"/>
      <c r="AD367" s="10"/>
      <c r="AE367" s="10"/>
      <c r="AF367" s="10"/>
    </row>
    <row r="368" customFormat="false" ht="15.75" hidden="false" customHeight="false" outlineLevel="0" collapsed="false">
      <c r="A368" s="11" t="n">
        <v>46132.8640164236</v>
      </c>
      <c r="B368" s="10" t="s">
        <v>1042</v>
      </c>
      <c r="C368" s="10" t="s">
        <v>1043</v>
      </c>
      <c r="D368" s="10" t="n">
        <v>94021720</v>
      </c>
      <c r="E368" s="10" t="s">
        <v>1044</v>
      </c>
      <c r="F368" s="10" t="s">
        <v>1045</v>
      </c>
      <c r="G368" s="10" t="s">
        <v>1046</v>
      </c>
      <c r="H368" s="10" t="s">
        <v>1047</v>
      </c>
      <c r="I368" s="10" t="s">
        <v>63</v>
      </c>
      <c r="J368" s="10" t="s">
        <v>63</v>
      </c>
      <c r="K368" s="10" t="s">
        <v>1048</v>
      </c>
      <c r="L368" s="10" t="n">
        <v>1427</v>
      </c>
      <c r="M368" s="10" t="s">
        <v>1043</v>
      </c>
      <c r="N368" s="10" t="s">
        <v>1042</v>
      </c>
      <c r="O368" s="10" t="n">
        <v>1178973394</v>
      </c>
      <c r="P368" s="10" t="s">
        <v>1047</v>
      </c>
      <c r="Q368" s="10"/>
      <c r="R368" s="10"/>
      <c r="S368" s="10"/>
      <c r="T368" s="10"/>
      <c r="U368" s="10"/>
      <c r="V368" s="10" t="n">
        <v>2</v>
      </c>
      <c r="W368" s="10" t="n">
        <v>5</v>
      </c>
      <c r="X368" s="10" t="s">
        <v>198</v>
      </c>
      <c r="Y368" s="10" t="s">
        <v>72</v>
      </c>
      <c r="Z368" s="10" t="s">
        <v>383</v>
      </c>
      <c r="AA368" s="13" t="s">
        <v>1049</v>
      </c>
      <c r="AB368" s="13" t="s">
        <v>1041</v>
      </c>
      <c r="AC368" s="10"/>
      <c r="AD368" s="10"/>
      <c r="AE368" s="10"/>
      <c r="AF368" s="10"/>
    </row>
    <row r="369" customFormat="false" ht="15.75" hidden="false" customHeight="false" outlineLevel="0" collapsed="false">
      <c r="A369" s="11" t="n">
        <v>46113.6116397801</v>
      </c>
      <c r="B369" s="10" t="s">
        <v>1050</v>
      </c>
      <c r="C369" s="10" t="s">
        <v>1051</v>
      </c>
      <c r="D369" s="10" t="n">
        <v>96137061</v>
      </c>
      <c r="E369" s="10" t="s">
        <v>1052</v>
      </c>
      <c r="F369" s="12" t="n">
        <v>40980</v>
      </c>
      <c r="G369" s="10" t="s">
        <v>1053</v>
      </c>
      <c r="H369" s="10" t="s">
        <v>963</v>
      </c>
      <c r="I369" s="10" t="s">
        <v>1054</v>
      </c>
      <c r="J369" s="10" t="s">
        <v>1055</v>
      </c>
      <c r="K369" s="10" t="s">
        <v>1056</v>
      </c>
      <c r="L369" s="10" t="n">
        <v>1427</v>
      </c>
      <c r="M369" s="10" t="s">
        <v>1057</v>
      </c>
      <c r="N369" s="10" t="s">
        <v>1058</v>
      </c>
      <c r="O369" s="10" t="n">
        <v>1525017850</v>
      </c>
      <c r="P369" s="10" t="s">
        <v>1059</v>
      </c>
      <c r="Q369" s="10"/>
      <c r="R369" s="10"/>
      <c r="S369" s="10" t="s">
        <v>1060</v>
      </c>
      <c r="T369" s="10"/>
      <c r="U369" s="10" t="s">
        <v>229</v>
      </c>
      <c r="V369" s="10" t="n">
        <v>1</v>
      </c>
      <c r="W369" s="10" t="n">
        <v>5</v>
      </c>
      <c r="X369" s="10" t="s">
        <v>71</v>
      </c>
      <c r="Y369" s="10" t="s">
        <v>72</v>
      </c>
      <c r="Z369" s="10" t="s">
        <v>289</v>
      </c>
      <c r="AA369" s="13" t="s">
        <v>1061</v>
      </c>
      <c r="AB369" s="13" t="s">
        <v>1041</v>
      </c>
      <c r="AC369" s="10"/>
      <c r="AD369" s="10"/>
      <c r="AE369" s="10"/>
      <c r="AF369" s="10"/>
    </row>
    <row r="370" customFormat="false" ht="15.75" hidden="false" customHeight="false" outlineLevel="0" collapsed="false">
      <c r="A370" s="11" t="n">
        <v>46120.4593102199</v>
      </c>
      <c r="B370" s="10" t="s">
        <v>1062</v>
      </c>
      <c r="C370" s="10" t="s">
        <v>769</v>
      </c>
      <c r="D370" s="10" t="n">
        <v>51162686</v>
      </c>
      <c r="E370" s="10" t="s">
        <v>60</v>
      </c>
      <c r="F370" s="12" t="n">
        <v>40554</v>
      </c>
      <c r="G370" s="10" t="s">
        <v>1063</v>
      </c>
      <c r="H370" s="10" t="s">
        <v>1063</v>
      </c>
      <c r="I370" s="10" t="s">
        <v>856</v>
      </c>
      <c r="J370" s="10" t="s">
        <v>1064</v>
      </c>
      <c r="K370" s="10" t="s">
        <v>396</v>
      </c>
      <c r="L370" s="10" t="s">
        <v>397</v>
      </c>
      <c r="M370" s="10" t="s">
        <v>136</v>
      </c>
      <c r="N370" s="10" t="s">
        <v>1065</v>
      </c>
      <c r="O370" s="10" t="n">
        <v>1164158934</v>
      </c>
      <c r="P370" s="10" t="s">
        <v>1066</v>
      </c>
      <c r="Q370" s="10" t="s">
        <v>860</v>
      </c>
      <c r="R370" s="10"/>
      <c r="S370" s="10" t="n">
        <v>11308544255</v>
      </c>
      <c r="T370" s="10"/>
      <c r="U370" s="10"/>
      <c r="V370" s="10" t="n">
        <v>2</v>
      </c>
      <c r="W370" s="10" t="n">
        <v>6</v>
      </c>
      <c r="X370" s="10" t="s">
        <v>71</v>
      </c>
      <c r="Y370" s="10" t="s">
        <v>72</v>
      </c>
      <c r="Z370" s="10" t="s">
        <v>404</v>
      </c>
      <c r="AA370" s="13" t="s">
        <v>1067</v>
      </c>
      <c r="AB370" s="13" t="s">
        <v>1068</v>
      </c>
      <c r="AC370" s="10"/>
      <c r="AD370" s="10"/>
      <c r="AE370" s="10"/>
      <c r="AF370" s="10"/>
    </row>
    <row r="371" customFormat="false" ht="15.75" hidden="false" customHeight="false" outlineLevel="0" collapsed="false">
      <c r="A371" s="11" t="n">
        <v>46120.4661557523</v>
      </c>
      <c r="B371" s="10" t="s">
        <v>926</v>
      </c>
      <c r="C371" s="10" t="s">
        <v>1069</v>
      </c>
      <c r="D371" s="10" t="n">
        <v>52452768</v>
      </c>
      <c r="E371" s="10" t="s">
        <v>60</v>
      </c>
      <c r="F371" s="10" t="s">
        <v>392</v>
      </c>
      <c r="G371" s="10" t="s">
        <v>1070</v>
      </c>
      <c r="H371" s="10" t="s">
        <v>1070</v>
      </c>
      <c r="I371" s="10" t="s">
        <v>82</v>
      </c>
      <c r="J371" s="10" t="s">
        <v>82</v>
      </c>
      <c r="K371" s="10" t="s">
        <v>396</v>
      </c>
      <c r="L371" s="10" t="s">
        <v>397</v>
      </c>
      <c r="M371" s="10" t="s">
        <v>1071</v>
      </c>
      <c r="N371" s="10" t="s">
        <v>1072</v>
      </c>
      <c r="O371" s="10" t="n">
        <v>1168680130</v>
      </c>
      <c r="P371" s="10" t="s">
        <v>1073</v>
      </c>
      <c r="Q371" s="10" t="s">
        <v>860</v>
      </c>
      <c r="R371" s="10"/>
      <c r="S371" s="10" t="n">
        <v>1152616139</v>
      </c>
      <c r="T371" s="10"/>
      <c r="U371" s="10" t="s">
        <v>1074</v>
      </c>
      <c r="V371" s="10" t="n">
        <v>2</v>
      </c>
      <c r="W371" s="10" t="n">
        <v>6</v>
      </c>
      <c r="X371" s="10" t="s">
        <v>71</v>
      </c>
      <c r="Y371" s="10" t="s">
        <v>72</v>
      </c>
      <c r="Z371" s="10" t="s">
        <v>404</v>
      </c>
      <c r="AA371" s="13" t="s">
        <v>1075</v>
      </c>
      <c r="AB371" s="13" t="s">
        <v>1068</v>
      </c>
      <c r="AC371" s="10"/>
      <c r="AD371" s="10"/>
      <c r="AE371" s="10"/>
      <c r="AF371" s="10"/>
    </row>
    <row r="372" customFormat="false" ht="15.75" hidden="false" customHeight="false" outlineLevel="0" collapsed="false">
      <c r="A372" s="11" t="n">
        <v>46113.0116451389</v>
      </c>
      <c r="B372" s="10" t="s">
        <v>1076</v>
      </c>
      <c r="C372" s="10" t="s">
        <v>1077</v>
      </c>
      <c r="D372" s="10" t="n">
        <v>52676458</v>
      </c>
      <c r="E372" s="10" t="s">
        <v>107</v>
      </c>
      <c r="F372" s="10" t="s">
        <v>1078</v>
      </c>
      <c r="G372" s="10" t="s">
        <v>1079</v>
      </c>
      <c r="H372" s="10" t="s">
        <v>98</v>
      </c>
      <c r="I372" s="10" t="s">
        <v>1080</v>
      </c>
      <c r="J372" s="10" t="s">
        <v>1081</v>
      </c>
      <c r="K372" s="10" t="s">
        <v>1081</v>
      </c>
      <c r="L372" s="10" t="n">
        <v>1234</v>
      </c>
      <c r="M372" s="10" t="s">
        <v>1082</v>
      </c>
      <c r="N372" s="10" t="s">
        <v>1083</v>
      </c>
      <c r="O372" s="10" t="n">
        <v>1136380718</v>
      </c>
      <c r="P372" s="10" t="s">
        <v>1084</v>
      </c>
      <c r="Q372" s="10"/>
      <c r="R372" s="10"/>
      <c r="S372" s="10"/>
      <c r="T372" s="10"/>
      <c r="U372" s="10"/>
      <c r="V372" s="10" t="n">
        <v>1</v>
      </c>
      <c r="W372" s="10" t="n">
        <v>3</v>
      </c>
      <c r="X372" s="10" t="s">
        <v>71</v>
      </c>
      <c r="Y372" s="10" t="s">
        <v>72</v>
      </c>
      <c r="Z372" s="10" t="s">
        <v>221</v>
      </c>
      <c r="AA372" s="13" t="s">
        <v>1085</v>
      </c>
      <c r="AB372" s="13" t="s">
        <v>1068</v>
      </c>
      <c r="AC372" s="10"/>
      <c r="AD372" s="10"/>
      <c r="AE372" s="10"/>
      <c r="AF372" s="10"/>
    </row>
    <row r="373" customFormat="false" ht="15.75" hidden="false" customHeight="false" outlineLevel="0" collapsed="false">
      <c r="A373" s="11" t="n">
        <v>46134.3791656944</v>
      </c>
      <c r="B373" s="10" t="s">
        <v>1086</v>
      </c>
      <c r="C373" s="10" t="s">
        <v>159</v>
      </c>
      <c r="D373" s="10" t="n">
        <v>48715886</v>
      </c>
      <c r="E373" s="10" t="s">
        <v>215</v>
      </c>
      <c r="F373" s="10" t="s">
        <v>1087</v>
      </c>
      <c r="G373" s="10" t="s">
        <v>1088</v>
      </c>
      <c r="H373" s="10" t="s">
        <v>1088</v>
      </c>
      <c r="I373" s="10" t="s">
        <v>1089</v>
      </c>
      <c r="J373" s="10" t="s">
        <v>1090</v>
      </c>
      <c r="K373" s="10" t="s">
        <v>1091</v>
      </c>
      <c r="L373" s="10" t="n">
        <v>1419</v>
      </c>
      <c r="M373" s="10" t="s">
        <v>1092</v>
      </c>
      <c r="N373" s="10" t="s">
        <v>1093</v>
      </c>
      <c r="O373" s="10" t="n">
        <v>1167180017</v>
      </c>
      <c r="P373" s="10" t="s">
        <v>1094</v>
      </c>
      <c r="Q373" s="10"/>
      <c r="R373" s="10"/>
      <c r="S373" s="10"/>
      <c r="T373" s="10"/>
      <c r="U373" s="10"/>
      <c r="V373" s="10" t="n">
        <v>5</v>
      </c>
      <c r="W373" s="10" t="n">
        <v>1</v>
      </c>
      <c r="X373" s="10" t="s">
        <v>71</v>
      </c>
      <c r="Y373" s="10" t="s">
        <v>90</v>
      </c>
      <c r="Z373" s="10" t="s">
        <v>91</v>
      </c>
      <c r="AA373" s="13" t="s">
        <v>1095</v>
      </c>
      <c r="AB373" s="13" t="s">
        <v>1068</v>
      </c>
      <c r="AC373" s="10"/>
      <c r="AD373" s="10"/>
      <c r="AE373" s="10"/>
      <c r="AF373" s="10"/>
    </row>
    <row r="374" customFormat="false" ht="15.75" hidden="false" customHeight="false" outlineLevel="0" collapsed="false">
      <c r="A374" s="11" t="n">
        <v>46113.8567656366</v>
      </c>
      <c r="B374" s="10" t="s">
        <v>1096</v>
      </c>
      <c r="C374" s="10" t="s">
        <v>1097</v>
      </c>
      <c r="D374" s="10" t="n">
        <v>51454077</v>
      </c>
      <c r="E374" s="10" t="s">
        <v>864</v>
      </c>
      <c r="F374" s="12" t="n">
        <v>40673</v>
      </c>
      <c r="G374" s="10" t="s">
        <v>1098</v>
      </c>
      <c r="H374" s="10" t="s">
        <v>1099</v>
      </c>
      <c r="I374" s="10" t="s">
        <v>864</v>
      </c>
      <c r="J374" s="10" t="s">
        <v>864</v>
      </c>
      <c r="K374" s="10" t="s">
        <v>864</v>
      </c>
      <c r="L374" s="10" t="n">
        <v>0</v>
      </c>
      <c r="M374" s="10" t="s">
        <v>867</v>
      </c>
      <c r="N374" s="10" t="s">
        <v>864</v>
      </c>
      <c r="O374" s="10" t="n">
        <v>1132959465</v>
      </c>
      <c r="P374" s="10" t="s">
        <v>1100</v>
      </c>
      <c r="Q374" s="10" t="s">
        <v>1101</v>
      </c>
      <c r="R374" s="10"/>
      <c r="S374" s="10"/>
      <c r="T374" s="10"/>
      <c r="U374" s="10" t="s">
        <v>864</v>
      </c>
      <c r="V374" s="10" t="n">
        <v>2</v>
      </c>
      <c r="W374" s="10" t="n">
        <v>3</v>
      </c>
      <c r="X374" s="10" t="s">
        <v>71</v>
      </c>
      <c r="Y374" s="10" t="s">
        <v>72</v>
      </c>
      <c r="Z374" s="10" t="s">
        <v>1102</v>
      </c>
      <c r="AA374" s="13" t="s">
        <v>1103</v>
      </c>
      <c r="AB374" s="13" t="s">
        <v>1068</v>
      </c>
      <c r="AC374" s="10"/>
      <c r="AD374" s="10"/>
      <c r="AE374" s="10"/>
      <c r="AF374" s="10"/>
    </row>
    <row r="375" customFormat="false" ht="15.75" hidden="false" customHeight="false" outlineLevel="0" collapsed="false">
      <c r="A375" s="11" t="n">
        <v>46141.3800130671</v>
      </c>
      <c r="B375" s="10" t="s">
        <v>1096</v>
      </c>
      <c r="C375" s="10" t="s">
        <v>1104</v>
      </c>
      <c r="D375" s="10" t="n">
        <v>50256253</v>
      </c>
      <c r="E375" s="10" t="s">
        <v>95</v>
      </c>
      <c r="F375" s="12" t="n">
        <v>40364</v>
      </c>
      <c r="G375" s="10" t="s">
        <v>1105</v>
      </c>
      <c r="H375" s="10" t="s">
        <v>963</v>
      </c>
      <c r="I375" s="10" t="s">
        <v>82</v>
      </c>
      <c r="J375" s="10" t="s">
        <v>1106</v>
      </c>
      <c r="K375" s="10" t="s">
        <v>1107</v>
      </c>
      <c r="L375" s="10" t="n">
        <v>1429</v>
      </c>
      <c r="M375" s="10" t="s">
        <v>1108</v>
      </c>
      <c r="N375" s="10" t="s">
        <v>1109</v>
      </c>
      <c r="O375" s="10" t="n">
        <v>1154746452</v>
      </c>
      <c r="P375" s="10" t="s">
        <v>1110</v>
      </c>
      <c r="Q375" s="10"/>
      <c r="R375" s="10"/>
      <c r="S375" s="10"/>
      <c r="T375" s="10"/>
      <c r="U375" s="10" t="s">
        <v>146</v>
      </c>
      <c r="V375" s="10" t="n">
        <v>4</v>
      </c>
      <c r="W375" s="10" t="n">
        <v>1</v>
      </c>
      <c r="X375" s="10" t="s">
        <v>71</v>
      </c>
      <c r="Y375" s="10" t="s">
        <v>90</v>
      </c>
      <c r="Z375" s="10" t="s">
        <v>319</v>
      </c>
      <c r="AA375" s="13" t="s">
        <v>1111</v>
      </c>
      <c r="AB375" s="13" t="s">
        <v>1068</v>
      </c>
      <c r="AC375" s="10"/>
      <c r="AD375" s="10"/>
      <c r="AE375" s="10"/>
      <c r="AF375" s="10"/>
    </row>
    <row r="376" customFormat="false" ht="15.75" hidden="false" customHeight="false" outlineLevel="0" collapsed="false">
      <c r="A376" s="11" t="n">
        <v>46128.3946373148</v>
      </c>
      <c r="B376" s="10" t="s">
        <v>1096</v>
      </c>
      <c r="C376" s="10" t="s">
        <v>1112</v>
      </c>
      <c r="D376" s="10" t="n">
        <v>50707079</v>
      </c>
      <c r="E376" s="10" t="s">
        <v>107</v>
      </c>
      <c r="F376" s="12" t="n">
        <v>40524</v>
      </c>
      <c r="G376" s="10" t="s">
        <v>1113</v>
      </c>
      <c r="H376" s="10" t="s">
        <v>1114</v>
      </c>
      <c r="I376" s="10" t="s">
        <v>82</v>
      </c>
      <c r="J376" s="10" t="s">
        <v>297</v>
      </c>
      <c r="K376" s="10" t="s">
        <v>1115</v>
      </c>
      <c r="L376" s="10" t="s">
        <v>1116</v>
      </c>
      <c r="M376" s="10" t="s">
        <v>1117</v>
      </c>
      <c r="N376" s="10" t="s">
        <v>1096</v>
      </c>
      <c r="O376" s="10" t="n">
        <v>1121647183</v>
      </c>
      <c r="P376" s="10" t="s">
        <v>1118</v>
      </c>
      <c r="Q376" s="10"/>
      <c r="R376" s="10"/>
      <c r="S376" s="10"/>
      <c r="T376" s="10"/>
      <c r="U376" s="10" t="s">
        <v>1119</v>
      </c>
      <c r="V376" s="10" t="n">
        <v>3</v>
      </c>
      <c r="W376" s="10" t="n">
        <v>1</v>
      </c>
      <c r="X376" s="10" t="s">
        <v>71</v>
      </c>
      <c r="Y376" s="10" t="s">
        <v>72</v>
      </c>
      <c r="Z376" s="10" t="s">
        <v>627</v>
      </c>
      <c r="AA376" s="13" t="s">
        <v>1120</v>
      </c>
      <c r="AB376" s="13" t="s">
        <v>1068</v>
      </c>
      <c r="AC376" s="10"/>
      <c r="AD376" s="10"/>
      <c r="AE376" s="10"/>
      <c r="AF376" s="10"/>
    </row>
    <row r="377" customFormat="false" ht="15.75" hidden="false" customHeight="false" outlineLevel="0" collapsed="false">
      <c r="A377" s="11" t="n">
        <v>46133.4155296644</v>
      </c>
      <c r="B377" s="10" t="s">
        <v>1121</v>
      </c>
      <c r="C377" s="10" t="s">
        <v>941</v>
      </c>
      <c r="D377" s="10" t="n">
        <v>49627416</v>
      </c>
      <c r="E377" s="10" t="s">
        <v>107</v>
      </c>
      <c r="F377" s="10" t="s">
        <v>1122</v>
      </c>
      <c r="G377" s="10" t="s">
        <v>1123</v>
      </c>
      <c r="H377" s="10" t="s">
        <v>1124</v>
      </c>
      <c r="I377" s="10" t="s">
        <v>82</v>
      </c>
      <c r="J377" s="10" t="s">
        <v>1125</v>
      </c>
      <c r="K377" s="10" t="s">
        <v>1126</v>
      </c>
      <c r="L377" s="10" t="n">
        <v>4848</v>
      </c>
      <c r="M377" s="10" t="s">
        <v>1127</v>
      </c>
      <c r="N377" s="10" t="s">
        <v>1121</v>
      </c>
      <c r="O377" s="10" t="s">
        <v>1128</v>
      </c>
      <c r="P377" s="10" t="s">
        <v>1129</v>
      </c>
      <c r="Q377" s="10"/>
      <c r="R377" s="10"/>
      <c r="S377" s="10"/>
      <c r="T377" s="10"/>
      <c r="U377" s="10"/>
      <c r="V377" s="10" t="n">
        <v>4</v>
      </c>
      <c r="W377" s="10" t="n">
        <v>1</v>
      </c>
      <c r="X377" s="10" t="s">
        <v>71</v>
      </c>
      <c r="Y377" s="10" t="s">
        <v>90</v>
      </c>
      <c r="Z377" s="10" t="s">
        <v>671</v>
      </c>
      <c r="AA377" s="13" t="s">
        <v>1130</v>
      </c>
      <c r="AB377" s="13" t="s">
        <v>1068</v>
      </c>
      <c r="AC377" s="10"/>
      <c r="AD377" s="10"/>
      <c r="AE377" s="10"/>
      <c r="AF377" s="10"/>
    </row>
    <row r="378" customFormat="false" ht="15.75" hidden="false" customHeight="false" outlineLevel="0" collapsed="false">
      <c r="A378" s="11" t="n">
        <v>46127.4342761458</v>
      </c>
      <c r="B378" s="10" t="s">
        <v>1131</v>
      </c>
      <c r="C378" s="10" t="s">
        <v>425</v>
      </c>
      <c r="D378" s="10" t="n">
        <v>50802611</v>
      </c>
      <c r="E378" s="10" t="s">
        <v>60</v>
      </c>
      <c r="F378" s="10" t="s">
        <v>1132</v>
      </c>
      <c r="G378" s="10" t="s">
        <v>1133</v>
      </c>
      <c r="H378" s="13" t="s">
        <v>1134</v>
      </c>
      <c r="I378" s="10" t="s">
        <v>82</v>
      </c>
      <c r="J378" s="10" t="s">
        <v>82</v>
      </c>
      <c r="K378" s="10" t="s">
        <v>1135</v>
      </c>
      <c r="L378" s="10" t="n">
        <v>1428</v>
      </c>
      <c r="M378" s="10" t="s">
        <v>677</v>
      </c>
      <c r="N378" s="10" t="s">
        <v>1136</v>
      </c>
      <c r="O378" s="10" t="n">
        <v>1140985747</v>
      </c>
      <c r="P378" s="10" t="s">
        <v>1137</v>
      </c>
      <c r="Q378" s="10"/>
      <c r="R378" s="10"/>
      <c r="S378" s="10"/>
      <c r="T378" s="10"/>
      <c r="U378" s="10" t="s">
        <v>1138</v>
      </c>
      <c r="V378" s="10" t="n">
        <v>3</v>
      </c>
      <c r="W378" s="10" t="n">
        <v>1</v>
      </c>
      <c r="X378" s="10" t="s">
        <v>71</v>
      </c>
      <c r="Y378" s="10" t="s">
        <v>72</v>
      </c>
      <c r="Z378" s="10" t="s">
        <v>794</v>
      </c>
      <c r="AA378" s="13" t="s">
        <v>1139</v>
      </c>
      <c r="AB378" s="13" t="s">
        <v>1068</v>
      </c>
      <c r="AC378" s="10"/>
      <c r="AD378" s="10"/>
      <c r="AE378" s="10"/>
      <c r="AF378" s="10"/>
    </row>
    <row r="379" customFormat="false" ht="15.75" hidden="false" customHeight="false" outlineLevel="0" collapsed="false">
      <c r="A379" s="11" t="n">
        <v>46128.9322271181</v>
      </c>
      <c r="B379" s="10" t="s">
        <v>1140</v>
      </c>
      <c r="C379" s="10" t="s">
        <v>1141</v>
      </c>
      <c r="D379" s="10" t="n">
        <v>50513277</v>
      </c>
      <c r="E379" s="10" t="s">
        <v>215</v>
      </c>
      <c r="F379" s="10" t="s">
        <v>1142</v>
      </c>
      <c r="G379" s="10" t="s">
        <v>1143</v>
      </c>
      <c r="H379" s="10" t="s">
        <v>1144</v>
      </c>
      <c r="I379" s="10" t="s">
        <v>82</v>
      </c>
      <c r="J379" s="10" t="s">
        <v>1145</v>
      </c>
      <c r="K379" s="10" t="s">
        <v>1146</v>
      </c>
      <c r="L379" s="10" t="n">
        <v>1428</v>
      </c>
      <c r="M379" s="10" t="s">
        <v>1147</v>
      </c>
      <c r="N379" s="10" t="s">
        <v>1148</v>
      </c>
      <c r="O379" s="10" t="s">
        <v>1149</v>
      </c>
      <c r="P379" s="10" t="s">
        <v>1150</v>
      </c>
      <c r="Q379" s="10"/>
      <c r="R379" s="10"/>
      <c r="S379" s="10"/>
      <c r="T379" s="10"/>
      <c r="U379" s="10"/>
      <c r="V379" s="10" t="n">
        <v>3</v>
      </c>
      <c r="W379" s="10" t="n">
        <v>3</v>
      </c>
      <c r="X379" s="10" t="s">
        <v>71</v>
      </c>
      <c r="Y379" s="10" t="s">
        <v>72</v>
      </c>
      <c r="Z379" s="10" t="s">
        <v>1151</v>
      </c>
      <c r="AA379" s="13" t="s">
        <v>1152</v>
      </c>
      <c r="AB379" s="13" t="s">
        <v>1068</v>
      </c>
      <c r="AC379" s="10"/>
      <c r="AD379" s="10"/>
      <c r="AE379" s="10"/>
      <c r="AF379" s="10"/>
    </row>
    <row r="380" customFormat="false" ht="15.75" hidden="false" customHeight="false" outlineLevel="0" collapsed="false">
      <c r="A380" s="11" t="n">
        <v>46139.393019537</v>
      </c>
      <c r="B380" s="10" t="s">
        <v>1153</v>
      </c>
      <c r="C380" s="10" t="s">
        <v>1154</v>
      </c>
      <c r="D380" s="10" t="n">
        <v>48590490</v>
      </c>
      <c r="E380" s="10" t="s">
        <v>215</v>
      </c>
      <c r="F380" s="10" t="s">
        <v>1155</v>
      </c>
      <c r="G380" s="10" t="s">
        <v>1156</v>
      </c>
      <c r="H380" s="10" t="s">
        <v>1157</v>
      </c>
      <c r="I380" s="10" t="s">
        <v>1158</v>
      </c>
      <c r="J380" s="10" t="s">
        <v>828</v>
      </c>
      <c r="K380" s="10" t="s">
        <v>1159</v>
      </c>
      <c r="L380" s="10" t="n">
        <v>1431</v>
      </c>
      <c r="M380" s="10" t="s">
        <v>1160</v>
      </c>
      <c r="N380" s="10" t="s">
        <v>1161</v>
      </c>
      <c r="O380" s="10" t="n">
        <v>1140442857</v>
      </c>
      <c r="P380" s="10" t="s">
        <v>1162</v>
      </c>
      <c r="Q380" s="10" t="s">
        <v>1163</v>
      </c>
      <c r="R380" s="10" t="s">
        <v>1153</v>
      </c>
      <c r="S380" s="10" t="s">
        <v>1164</v>
      </c>
      <c r="T380" s="10" t="s">
        <v>1165</v>
      </c>
      <c r="U380" s="10"/>
      <c r="V380" s="10" t="n">
        <v>6</v>
      </c>
      <c r="W380" s="10" t="n">
        <v>1</v>
      </c>
      <c r="X380" s="10" t="s">
        <v>71</v>
      </c>
      <c r="Y380" s="10" t="s">
        <v>132</v>
      </c>
      <c r="Z380" s="10" t="s">
        <v>147</v>
      </c>
      <c r="AA380" s="13" t="s">
        <v>1166</v>
      </c>
      <c r="AB380" s="13" t="s">
        <v>1068</v>
      </c>
      <c r="AC380" s="10"/>
      <c r="AD380" s="10"/>
      <c r="AE380" s="10"/>
      <c r="AF380" s="10"/>
    </row>
    <row r="381" customFormat="false" ht="15.75" hidden="false" customHeight="false" outlineLevel="0" collapsed="false">
      <c r="A381" s="11" t="n">
        <v>46113.5072197107</v>
      </c>
      <c r="B381" s="10" t="s">
        <v>1167</v>
      </c>
      <c r="C381" s="10" t="s">
        <v>1168</v>
      </c>
      <c r="D381" s="10" t="n">
        <v>51707620</v>
      </c>
      <c r="E381" s="10" t="s">
        <v>1169</v>
      </c>
      <c r="F381" s="12" t="n">
        <v>41610</v>
      </c>
      <c r="G381" s="10" t="s">
        <v>1170</v>
      </c>
      <c r="H381" s="10" t="s">
        <v>1171</v>
      </c>
      <c r="I381" s="10" t="s">
        <v>82</v>
      </c>
      <c r="J381" s="10" t="s">
        <v>323</v>
      </c>
      <c r="K381" s="10" t="s">
        <v>1172</v>
      </c>
      <c r="L381" s="10" t="n">
        <v>0</v>
      </c>
      <c r="M381" s="10" t="s">
        <v>1173</v>
      </c>
      <c r="N381" s="10" t="s">
        <v>1174</v>
      </c>
      <c r="O381" s="10" t="n">
        <v>1155887327</v>
      </c>
      <c r="P381" s="10" t="s">
        <v>1175</v>
      </c>
      <c r="Q381" s="10"/>
      <c r="R381" s="10"/>
      <c r="S381" s="10"/>
      <c r="T381" s="10"/>
      <c r="U381" s="10" t="s">
        <v>323</v>
      </c>
      <c r="V381" s="10" t="n">
        <v>1</v>
      </c>
      <c r="W381" s="10" t="n">
        <v>5</v>
      </c>
      <c r="X381" s="10" t="s">
        <v>71</v>
      </c>
      <c r="Y381" s="10" t="s">
        <v>72</v>
      </c>
      <c r="Z381" s="10" t="s">
        <v>1102</v>
      </c>
      <c r="AA381" s="13" t="s">
        <v>1176</v>
      </c>
      <c r="AB381" s="13" t="s">
        <v>1068</v>
      </c>
      <c r="AC381" s="10"/>
      <c r="AD381" s="10"/>
      <c r="AE381" s="10"/>
      <c r="AF381" s="10"/>
    </row>
    <row r="382" customFormat="false" ht="15.75" hidden="false" customHeight="false" outlineLevel="0" collapsed="false">
      <c r="A382" s="11" t="n">
        <v>46113.0169284144</v>
      </c>
      <c r="B382" s="10" t="s">
        <v>1177</v>
      </c>
      <c r="C382" s="10" t="s">
        <v>1178</v>
      </c>
      <c r="D382" s="10" t="n">
        <v>52460776</v>
      </c>
      <c r="E382" s="10" t="s">
        <v>215</v>
      </c>
      <c r="F382" s="10" t="s">
        <v>1179</v>
      </c>
      <c r="G382" s="10" t="s">
        <v>1180</v>
      </c>
      <c r="H382" s="10" t="s">
        <v>98</v>
      </c>
      <c r="I382" s="10" t="s">
        <v>82</v>
      </c>
      <c r="J382" s="10" t="s">
        <v>82</v>
      </c>
      <c r="K382" s="10" t="s">
        <v>82</v>
      </c>
      <c r="L382" s="10" t="n">
        <v>1234</v>
      </c>
      <c r="M382" s="10" t="s">
        <v>1181</v>
      </c>
      <c r="N382" s="10" t="s">
        <v>1182</v>
      </c>
      <c r="O382" s="10" t="n">
        <v>1130491906</v>
      </c>
      <c r="P382" s="10" t="s">
        <v>1183</v>
      </c>
      <c r="Q382" s="10"/>
      <c r="R382" s="10"/>
      <c r="S382" s="10"/>
      <c r="T382" s="10"/>
      <c r="U382" s="10"/>
      <c r="V382" s="10" t="n">
        <v>1</v>
      </c>
      <c r="W382" s="10" t="n">
        <v>3</v>
      </c>
      <c r="X382" s="10" t="s">
        <v>71</v>
      </c>
      <c r="Y382" s="10" t="s">
        <v>72</v>
      </c>
      <c r="Z382" s="10" t="s">
        <v>221</v>
      </c>
      <c r="AA382" s="13" t="s">
        <v>1184</v>
      </c>
      <c r="AB382" s="13" t="s">
        <v>1068</v>
      </c>
      <c r="AC382" s="10"/>
      <c r="AD382" s="10"/>
      <c r="AE382" s="10"/>
      <c r="AF382" s="10"/>
    </row>
    <row r="383" customFormat="false" ht="15.75" hidden="false" customHeight="false" outlineLevel="0" collapsed="false">
      <c r="A383" s="11" t="n">
        <v>46126.5976184144</v>
      </c>
      <c r="B383" s="10" t="s">
        <v>1185</v>
      </c>
      <c r="C383" s="10" t="s">
        <v>1186</v>
      </c>
      <c r="D383" s="10" t="n">
        <v>52454582</v>
      </c>
      <c r="E383" s="10" t="s">
        <v>215</v>
      </c>
      <c r="F383" s="10" t="s">
        <v>1187</v>
      </c>
      <c r="G383" s="10" t="s">
        <v>1188</v>
      </c>
      <c r="H383" s="10" t="s">
        <v>1189</v>
      </c>
      <c r="I383" s="10" t="s">
        <v>82</v>
      </c>
      <c r="J383" s="10" t="s">
        <v>82</v>
      </c>
      <c r="K383" s="10" t="s">
        <v>82</v>
      </c>
      <c r="L383" s="10" t="n">
        <v>1420</v>
      </c>
      <c r="M383" s="10" t="s">
        <v>1190</v>
      </c>
      <c r="N383" s="10" t="s">
        <v>1191</v>
      </c>
      <c r="O383" s="10" t="n">
        <v>1151031015</v>
      </c>
      <c r="P383" s="10" t="s">
        <v>1192</v>
      </c>
      <c r="Q383" s="10" t="s">
        <v>1193</v>
      </c>
      <c r="R383" s="10" t="s">
        <v>1193</v>
      </c>
      <c r="S383" s="10" t="n">
        <v>1155262586</v>
      </c>
      <c r="T383" s="10" t="s">
        <v>1194</v>
      </c>
      <c r="U383" s="10"/>
      <c r="V383" s="10" t="n">
        <v>1</v>
      </c>
      <c r="W383" s="10" t="n">
        <v>4</v>
      </c>
      <c r="X383" s="10" t="s">
        <v>71</v>
      </c>
      <c r="Y383" s="10" t="s">
        <v>72</v>
      </c>
      <c r="Z383" s="10" t="s">
        <v>454</v>
      </c>
      <c r="AA383" s="13" t="s">
        <v>1195</v>
      </c>
      <c r="AB383" s="13" t="s">
        <v>1068</v>
      </c>
      <c r="AC383" s="10"/>
      <c r="AD383" s="10"/>
      <c r="AE383" s="10"/>
      <c r="AF383" s="10"/>
    </row>
    <row r="384" customFormat="false" ht="15.75" hidden="false" customHeight="false" outlineLevel="0" collapsed="false">
      <c r="A384" s="11" t="n">
        <v>46113.8597705556</v>
      </c>
      <c r="B384" s="10" t="s">
        <v>1196</v>
      </c>
      <c r="C384" s="10" t="s">
        <v>1197</v>
      </c>
      <c r="D384" s="10" t="n">
        <v>52445527</v>
      </c>
      <c r="E384" s="10" t="s">
        <v>323</v>
      </c>
      <c r="F384" s="10" t="s">
        <v>1198</v>
      </c>
      <c r="G384" s="10" t="s">
        <v>1199</v>
      </c>
      <c r="H384" s="10" t="s">
        <v>1200</v>
      </c>
      <c r="I384" s="10" t="s">
        <v>323</v>
      </c>
      <c r="J384" s="10" t="s">
        <v>323</v>
      </c>
      <c r="K384" s="10" t="s">
        <v>323</v>
      </c>
      <c r="L384" s="10" t="n">
        <v>0</v>
      </c>
      <c r="M384" s="10" t="s">
        <v>1201</v>
      </c>
      <c r="N384" s="10" t="s">
        <v>323</v>
      </c>
      <c r="O384" s="10" t="n">
        <v>1132409925</v>
      </c>
      <c r="P384" s="10" t="s">
        <v>1202</v>
      </c>
      <c r="Q384" s="10" t="s">
        <v>1203</v>
      </c>
      <c r="R384" s="10"/>
      <c r="S384" s="10"/>
      <c r="T384" s="10"/>
      <c r="U384" s="10" t="s">
        <v>323</v>
      </c>
      <c r="V384" s="10" t="n">
        <v>2</v>
      </c>
      <c r="W384" s="10" t="n">
        <v>3</v>
      </c>
      <c r="X384" s="10" t="s">
        <v>71</v>
      </c>
      <c r="Y384" s="10" t="s">
        <v>72</v>
      </c>
      <c r="Z384" s="10" t="s">
        <v>329</v>
      </c>
      <c r="AA384" s="13" t="s">
        <v>1204</v>
      </c>
      <c r="AB384" s="13" t="s">
        <v>1068</v>
      </c>
      <c r="AC384" s="10"/>
      <c r="AD384" s="10"/>
      <c r="AE384" s="10"/>
      <c r="AF384" s="10"/>
    </row>
    <row r="385" customFormat="false" ht="15.75" hidden="false" customHeight="false" outlineLevel="0" collapsed="false">
      <c r="A385" s="11" t="n">
        <v>46113.4881662847</v>
      </c>
      <c r="B385" s="10" t="s">
        <v>1205</v>
      </c>
      <c r="C385" s="10" t="s">
        <v>1206</v>
      </c>
      <c r="D385" s="10" t="n">
        <v>52997780</v>
      </c>
      <c r="E385" s="10" t="s">
        <v>1207</v>
      </c>
      <c r="F385" s="10" t="s">
        <v>1208</v>
      </c>
      <c r="G385" s="10" t="s">
        <v>1209</v>
      </c>
      <c r="H385" s="10" t="s">
        <v>963</v>
      </c>
      <c r="I385" s="10" t="s">
        <v>323</v>
      </c>
      <c r="J385" s="10" t="s">
        <v>323</v>
      </c>
      <c r="K385" s="10" t="s">
        <v>323</v>
      </c>
      <c r="L385" s="10" t="n">
        <v>0</v>
      </c>
      <c r="M385" s="10" t="s">
        <v>1210</v>
      </c>
      <c r="N385" s="10" t="s">
        <v>1211</v>
      </c>
      <c r="O385" s="10" t="n">
        <v>1164860465</v>
      </c>
      <c r="P385" s="10" t="s">
        <v>1212</v>
      </c>
      <c r="Q385" s="10"/>
      <c r="R385" s="10"/>
      <c r="S385" s="10"/>
      <c r="T385" s="10"/>
      <c r="U385" s="10"/>
      <c r="V385" s="10" t="n">
        <v>1</v>
      </c>
      <c r="W385" s="10" t="n">
        <v>1</v>
      </c>
      <c r="X385" s="10" t="s">
        <v>71</v>
      </c>
      <c r="Y385" s="10" t="s">
        <v>72</v>
      </c>
      <c r="Z385" s="10" t="s">
        <v>289</v>
      </c>
      <c r="AA385" s="13" t="s">
        <v>1213</v>
      </c>
      <c r="AB385" s="13" t="s">
        <v>1068</v>
      </c>
      <c r="AC385" s="10"/>
      <c r="AD385" s="10"/>
      <c r="AE385" s="10"/>
      <c r="AF385" s="10"/>
    </row>
    <row r="386" customFormat="false" ht="15.75" hidden="false" customHeight="false" outlineLevel="0" collapsed="false">
      <c r="A386" s="11" t="n">
        <v>46136.4001196644</v>
      </c>
      <c r="B386" s="10" t="s">
        <v>1214</v>
      </c>
      <c r="C386" s="10" t="s">
        <v>1215</v>
      </c>
      <c r="D386" s="10" t="n">
        <v>52194360</v>
      </c>
      <c r="E386" s="10" t="s">
        <v>293</v>
      </c>
      <c r="F386" s="10" t="s">
        <v>1216</v>
      </c>
      <c r="G386" s="10" t="s">
        <v>1217</v>
      </c>
      <c r="H386" s="10" t="s">
        <v>676</v>
      </c>
      <c r="I386" s="10" t="s">
        <v>63</v>
      </c>
      <c r="J386" s="10" t="s">
        <v>63</v>
      </c>
      <c r="K386" s="10" t="s">
        <v>63</v>
      </c>
      <c r="L386" s="10" t="s">
        <v>63</v>
      </c>
      <c r="M386" s="10" t="s">
        <v>1218</v>
      </c>
      <c r="N386" s="10" t="s">
        <v>1219</v>
      </c>
      <c r="O386" s="10" t="s">
        <v>945</v>
      </c>
      <c r="P386" s="10" t="s">
        <v>1220</v>
      </c>
      <c r="Q386" s="10" t="s">
        <v>1221</v>
      </c>
      <c r="R386" s="10" t="s">
        <v>1222</v>
      </c>
      <c r="S386" s="10" t="s">
        <v>1223</v>
      </c>
      <c r="T386" s="10" t="s">
        <v>1220</v>
      </c>
      <c r="U386" s="10"/>
      <c r="V386" s="10" t="n">
        <v>2</v>
      </c>
      <c r="W386" s="10" t="n">
        <v>2</v>
      </c>
      <c r="X386" s="10" t="s">
        <v>71</v>
      </c>
      <c r="Y386" s="10" t="s">
        <v>72</v>
      </c>
      <c r="Z386" s="10" t="s">
        <v>236</v>
      </c>
      <c r="AA386" s="13" t="s">
        <v>1224</v>
      </c>
      <c r="AB386" s="13" t="s">
        <v>1068</v>
      </c>
      <c r="AC386" s="10"/>
      <c r="AD386" s="10"/>
      <c r="AE386" s="10"/>
      <c r="AF386" s="10"/>
    </row>
    <row r="387" customFormat="false" ht="15.75" hidden="false" customHeight="false" outlineLevel="0" collapsed="false">
      <c r="A387" s="11" t="n">
        <v>46133.6840251157</v>
      </c>
      <c r="B387" s="10" t="s">
        <v>1225</v>
      </c>
      <c r="C387" s="10" t="s">
        <v>1226</v>
      </c>
      <c r="D387" s="10" t="n">
        <v>48855644</v>
      </c>
      <c r="E387" s="10" t="s">
        <v>293</v>
      </c>
      <c r="F387" s="10" t="s">
        <v>1227</v>
      </c>
      <c r="G387" s="10" t="s">
        <v>1228</v>
      </c>
      <c r="H387" s="10" t="s">
        <v>1229</v>
      </c>
      <c r="I387" s="10" t="s">
        <v>82</v>
      </c>
      <c r="J387" s="10" t="s">
        <v>899</v>
      </c>
      <c r="K387" s="10" t="s">
        <v>1230</v>
      </c>
      <c r="L387" s="10" t="n">
        <v>1430</v>
      </c>
      <c r="M387" s="10" t="s">
        <v>1231</v>
      </c>
      <c r="N387" s="10" t="s">
        <v>1232</v>
      </c>
      <c r="O387" s="10" t="n">
        <v>1159660792</v>
      </c>
      <c r="P387" s="10" t="s">
        <v>1233</v>
      </c>
      <c r="Q387" s="10"/>
      <c r="R387" s="10"/>
      <c r="S387" s="10"/>
      <c r="T387" s="10"/>
      <c r="U387" s="10"/>
      <c r="V387" s="10" t="n">
        <v>5</v>
      </c>
      <c r="W387" s="10" t="n">
        <v>1</v>
      </c>
      <c r="X387" s="10" t="s">
        <v>71</v>
      </c>
      <c r="Y387" s="10" t="s">
        <v>90</v>
      </c>
      <c r="Z387" s="10" t="s">
        <v>618</v>
      </c>
      <c r="AA387" s="13" t="s">
        <v>1234</v>
      </c>
      <c r="AB387" s="13" t="s">
        <v>1068</v>
      </c>
      <c r="AC387" s="10"/>
      <c r="AD387" s="10"/>
      <c r="AE387" s="10"/>
      <c r="AF387" s="10"/>
    </row>
    <row r="388" customFormat="false" ht="15.75" hidden="false" customHeight="false" outlineLevel="0" collapsed="false">
      <c r="A388" s="11" t="n">
        <v>46113.4940897917</v>
      </c>
      <c r="B388" s="10" t="s">
        <v>415</v>
      </c>
      <c r="C388" s="10" t="s">
        <v>1235</v>
      </c>
      <c r="D388" s="10" t="n">
        <v>53171304</v>
      </c>
      <c r="E388" s="10" t="s">
        <v>95</v>
      </c>
      <c r="F388" s="10" t="s">
        <v>1236</v>
      </c>
      <c r="G388" s="10" t="s">
        <v>1237</v>
      </c>
      <c r="H388" s="10" t="s">
        <v>1238</v>
      </c>
      <c r="I388" s="10" t="s">
        <v>82</v>
      </c>
      <c r="J388" s="10" t="s">
        <v>323</v>
      </c>
      <c r="K388" s="10" t="s">
        <v>1239</v>
      </c>
      <c r="L388" s="10" t="n">
        <v>1428</v>
      </c>
      <c r="M388" s="10" t="s">
        <v>1240</v>
      </c>
      <c r="N388" s="10" t="s">
        <v>1241</v>
      </c>
      <c r="O388" s="10" t="n">
        <v>1137932029</v>
      </c>
      <c r="P388" s="10" t="s">
        <v>1242</v>
      </c>
      <c r="Q388" s="10"/>
      <c r="R388" s="10"/>
      <c r="S388" s="10"/>
      <c r="T388" s="10"/>
      <c r="U388" s="10" t="s">
        <v>1243</v>
      </c>
      <c r="V388" s="10" t="n">
        <v>1</v>
      </c>
      <c r="W388" s="10" t="n">
        <v>5</v>
      </c>
      <c r="X388" s="10" t="s">
        <v>71</v>
      </c>
      <c r="Y388" s="10" t="s">
        <v>72</v>
      </c>
      <c r="Z388" s="10" t="s">
        <v>766</v>
      </c>
      <c r="AA388" s="13" t="s">
        <v>1244</v>
      </c>
      <c r="AB388" s="13" t="s">
        <v>1068</v>
      </c>
      <c r="AC388" s="10"/>
      <c r="AD388" s="10"/>
      <c r="AE388" s="10"/>
      <c r="AF388" s="10"/>
    </row>
    <row r="389" customFormat="false" ht="15.75" hidden="false" customHeight="false" outlineLevel="0" collapsed="false">
      <c r="A389" s="11" t="n">
        <v>46126.6013659144</v>
      </c>
      <c r="B389" s="10" t="s">
        <v>415</v>
      </c>
      <c r="C389" s="10" t="s">
        <v>1245</v>
      </c>
      <c r="D389" s="10" t="n">
        <v>53286939</v>
      </c>
      <c r="E389" s="10" t="s">
        <v>215</v>
      </c>
      <c r="F389" s="10" t="s">
        <v>1246</v>
      </c>
      <c r="G389" s="10" t="s">
        <v>1247</v>
      </c>
      <c r="H389" s="10" t="s">
        <v>1248</v>
      </c>
      <c r="I389" s="10" t="s">
        <v>449</v>
      </c>
      <c r="J389" s="10" t="s">
        <v>243</v>
      </c>
      <c r="K389" s="10" t="s">
        <v>243</v>
      </c>
      <c r="L389" s="10" t="n">
        <v>1430</v>
      </c>
      <c r="M389" s="10" t="s">
        <v>1249</v>
      </c>
      <c r="N389" s="10" t="s">
        <v>1250</v>
      </c>
      <c r="O389" s="10" t="n">
        <v>1162495678</v>
      </c>
      <c r="P389" s="10" t="s">
        <v>1251</v>
      </c>
      <c r="Q389" s="10"/>
      <c r="R389" s="10"/>
      <c r="S389" s="10"/>
      <c r="T389" s="10"/>
      <c r="U389" s="10"/>
      <c r="V389" s="10" t="n">
        <v>1</v>
      </c>
      <c r="W389" s="10" t="n">
        <v>4</v>
      </c>
      <c r="X389" s="10" t="s">
        <v>71</v>
      </c>
      <c r="Y389" s="10" t="s">
        <v>72</v>
      </c>
      <c r="Z389" s="10" t="s">
        <v>454</v>
      </c>
      <c r="AA389" s="13" t="s">
        <v>1252</v>
      </c>
      <c r="AB389" s="13" t="s">
        <v>1068</v>
      </c>
      <c r="AC389" s="10"/>
      <c r="AD389" s="10"/>
      <c r="AE389" s="10"/>
      <c r="AF389" s="10"/>
    </row>
    <row r="390" customFormat="false" ht="15.75" hidden="false" customHeight="false" outlineLevel="0" collapsed="false">
      <c r="A390" s="11" t="n">
        <v>46120.4717171065</v>
      </c>
      <c r="B390" s="10" t="s">
        <v>1253</v>
      </c>
      <c r="C390" s="10" t="s">
        <v>769</v>
      </c>
      <c r="D390" s="10" t="n">
        <v>52640570</v>
      </c>
      <c r="E390" s="10" t="s">
        <v>60</v>
      </c>
      <c r="F390" s="10" t="s">
        <v>1254</v>
      </c>
      <c r="G390" s="10" t="s">
        <v>1255</v>
      </c>
      <c r="H390" s="10" t="s">
        <v>1255</v>
      </c>
      <c r="I390" s="10" t="s">
        <v>82</v>
      </c>
      <c r="J390" s="10" t="s">
        <v>82</v>
      </c>
      <c r="K390" s="10" t="s">
        <v>396</v>
      </c>
      <c r="L390" s="10" t="s">
        <v>397</v>
      </c>
      <c r="M390" s="10" t="s">
        <v>1256</v>
      </c>
      <c r="N390" s="10" t="s">
        <v>1257</v>
      </c>
      <c r="O390" s="10" t="n">
        <v>1165528585</v>
      </c>
      <c r="P390" s="10" t="s">
        <v>1258</v>
      </c>
      <c r="Q390" s="10" t="s">
        <v>860</v>
      </c>
      <c r="R390" s="10"/>
      <c r="S390" s="10" t="n">
        <v>1133780406</v>
      </c>
      <c r="T390" s="10"/>
      <c r="U390" s="10"/>
      <c r="V390" s="10" t="n">
        <v>2</v>
      </c>
      <c r="W390" s="10" t="n">
        <v>6</v>
      </c>
      <c r="X390" s="10" t="s">
        <v>71</v>
      </c>
      <c r="Y390" s="10" t="s">
        <v>72</v>
      </c>
      <c r="Z390" s="10" t="s">
        <v>404</v>
      </c>
      <c r="AA390" s="13" t="s">
        <v>1259</v>
      </c>
      <c r="AB390" s="13" t="s">
        <v>1068</v>
      </c>
      <c r="AC390" s="10"/>
      <c r="AD390" s="10"/>
      <c r="AE390" s="10"/>
      <c r="AF390" s="10"/>
    </row>
    <row r="391" customFormat="false" ht="15.75" hidden="false" customHeight="false" outlineLevel="0" collapsed="false">
      <c r="A391" s="11" t="n">
        <v>46142.8682189815</v>
      </c>
      <c r="B391" s="10" t="s">
        <v>1260</v>
      </c>
      <c r="C391" s="10" t="s">
        <v>154</v>
      </c>
      <c r="D391" s="10" t="n">
        <v>51482904</v>
      </c>
      <c r="E391" s="10" t="s">
        <v>338</v>
      </c>
      <c r="F391" s="10" t="s">
        <v>1261</v>
      </c>
      <c r="G391" s="10" t="s">
        <v>1262</v>
      </c>
      <c r="H391" s="10" t="s">
        <v>1263</v>
      </c>
      <c r="I391" s="10" t="s">
        <v>1264</v>
      </c>
      <c r="J391" s="10" t="s">
        <v>1265</v>
      </c>
      <c r="K391" s="10" t="s">
        <v>338</v>
      </c>
      <c r="L391" s="10" t="n">
        <v>1400</v>
      </c>
      <c r="M391" s="10" t="s">
        <v>316</v>
      </c>
      <c r="N391" s="10" t="s">
        <v>1266</v>
      </c>
      <c r="O391" s="10" t="n">
        <v>1150986618</v>
      </c>
      <c r="P391" s="13" t="s">
        <v>1267</v>
      </c>
      <c r="Q391" s="10"/>
      <c r="R391" s="10"/>
      <c r="S391" s="10"/>
      <c r="T391" s="10"/>
      <c r="U391" s="10" t="s">
        <v>338</v>
      </c>
      <c r="V391" s="10" t="n">
        <v>2</v>
      </c>
      <c r="W391" s="10" t="n">
        <v>2</v>
      </c>
      <c r="X391" s="10" t="s">
        <v>71</v>
      </c>
      <c r="Y391" s="10" t="s">
        <v>72</v>
      </c>
      <c r="Z391" s="10" t="s">
        <v>1268</v>
      </c>
      <c r="AA391" s="13" t="s">
        <v>1269</v>
      </c>
      <c r="AB391" s="13" t="s">
        <v>1068</v>
      </c>
      <c r="AC391" s="10"/>
      <c r="AD391" s="10"/>
      <c r="AE391" s="10"/>
      <c r="AF391" s="10"/>
    </row>
    <row r="392" customFormat="false" ht="15.75" hidden="false" customHeight="false" outlineLevel="0" collapsed="false">
      <c r="A392" s="11" t="n">
        <v>46135.4126881482</v>
      </c>
      <c r="B392" s="10" t="s">
        <v>1270</v>
      </c>
      <c r="C392" s="10" t="s">
        <v>1271</v>
      </c>
      <c r="D392" s="10" t="n">
        <v>48796266</v>
      </c>
      <c r="E392" s="10" t="s">
        <v>107</v>
      </c>
      <c r="F392" s="10" t="s">
        <v>1272</v>
      </c>
      <c r="G392" s="10" t="s">
        <v>1273</v>
      </c>
      <c r="H392" s="10" t="s">
        <v>1274</v>
      </c>
      <c r="I392" s="10" t="s">
        <v>82</v>
      </c>
      <c r="J392" s="10" t="s">
        <v>1275</v>
      </c>
      <c r="K392" s="10" t="s">
        <v>1276</v>
      </c>
      <c r="L392" s="10" t="n">
        <v>1419</v>
      </c>
      <c r="M392" s="10" t="s">
        <v>1277</v>
      </c>
      <c r="N392" s="10" t="s">
        <v>1278</v>
      </c>
      <c r="O392" s="10" t="n">
        <v>1131498436</v>
      </c>
      <c r="P392" s="10" t="s">
        <v>1279</v>
      </c>
      <c r="Q392" s="10"/>
      <c r="R392" s="10"/>
      <c r="S392" s="10"/>
      <c r="T392" s="10"/>
      <c r="U392" s="10" t="s">
        <v>1280</v>
      </c>
      <c r="V392" s="10" t="n">
        <v>6</v>
      </c>
      <c r="W392" s="10" t="n">
        <v>1</v>
      </c>
      <c r="X392" s="10" t="s">
        <v>71</v>
      </c>
      <c r="Y392" s="10" t="s">
        <v>132</v>
      </c>
      <c r="Z392" s="10" t="s">
        <v>147</v>
      </c>
      <c r="AA392" s="13" t="s">
        <v>1281</v>
      </c>
      <c r="AB392" s="13" t="s">
        <v>1068</v>
      </c>
      <c r="AC392" s="10"/>
      <c r="AD392" s="10"/>
      <c r="AE392" s="10"/>
      <c r="AF392" s="10"/>
    </row>
    <row r="393" customFormat="false" ht="15.75" hidden="false" customHeight="false" outlineLevel="0" collapsed="false">
      <c r="A393" s="11" t="n">
        <v>46147.6662339005</v>
      </c>
      <c r="B393" s="10" t="s">
        <v>1282</v>
      </c>
      <c r="C393" s="10" t="s">
        <v>1283</v>
      </c>
      <c r="D393" s="10" t="n">
        <v>52449451</v>
      </c>
      <c r="E393" s="10" t="s">
        <v>338</v>
      </c>
      <c r="F393" s="10" t="s">
        <v>1284</v>
      </c>
      <c r="G393" s="10" t="s">
        <v>1285</v>
      </c>
      <c r="H393" s="10" t="s">
        <v>1286</v>
      </c>
      <c r="I393" s="10" t="s">
        <v>82</v>
      </c>
      <c r="J393" s="10" t="s">
        <v>338</v>
      </c>
      <c r="K393" s="10" t="s">
        <v>338</v>
      </c>
      <c r="L393" s="10" t="n">
        <v>1400</v>
      </c>
      <c r="M393" s="10" t="s">
        <v>316</v>
      </c>
      <c r="N393" s="10" t="s">
        <v>1266</v>
      </c>
      <c r="O393" s="10" t="n">
        <v>1150986618</v>
      </c>
      <c r="P393" s="10" t="s">
        <v>1287</v>
      </c>
      <c r="Q393" s="10"/>
      <c r="R393" s="10"/>
      <c r="S393" s="10"/>
      <c r="T393" s="10"/>
      <c r="U393" s="10" t="s">
        <v>338</v>
      </c>
      <c r="V393" s="10" t="n">
        <v>2</v>
      </c>
      <c r="W393" s="10" t="n">
        <v>2</v>
      </c>
      <c r="X393" s="10" t="s">
        <v>71</v>
      </c>
      <c r="Y393" s="10" t="s">
        <v>72</v>
      </c>
      <c r="Z393" s="10" t="s">
        <v>1268</v>
      </c>
      <c r="AA393" s="13" t="s">
        <v>1288</v>
      </c>
      <c r="AB393" s="13" t="s">
        <v>1068</v>
      </c>
      <c r="AC393" s="10"/>
      <c r="AD393" s="10"/>
      <c r="AE393" s="10"/>
      <c r="AF393" s="10"/>
    </row>
    <row r="394" customFormat="false" ht="15.75" hidden="false" customHeight="false" outlineLevel="0" collapsed="false">
      <c r="A394" s="11" t="n">
        <v>46127.6204697222</v>
      </c>
      <c r="B394" s="10" t="s">
        <v>1282</v>
      </c>
      <c r="C394" s="10" t="s">
        <v>1289</v>
      </c>
      <c r="D394" s="10" t="n">
        <v>50991882</v>
      </c>
      <c r="E394" s="10" t="s">
        <v>107</v>
      </c>
      <c r="F394" s="10" t="n">
        <v>27032011</v>
      </c>
      <c r="G394" s="10" t="s">
        <v>1290</v>
      </c>
      <c r="H394" s="10" t="s">
        <v>131</v>
      </c>
      <c r="I394" s="10" t="s">
        <v>82</v>
      </c>
      <c r="J394" s="10" t="s">
        <v>1291</v>
      </c>
      <c r="K394" s="10" t="s">
        <v>1292</v>
      </c>
      <c r="L394" s="10" t="n">
        <v>1430</v>
      </c>
      <c r="M394" s="10" t="s">
        <v>1293</v>
      </c>
      <c r="N394" s="10" t="s">
        <v>1294</v>
      </c>
      <c r="O394" s="10" t="s">
        <v>1295</v>
      </c>
      <c r="P394" s="10" t="s">
        <v>1296</v>
      </c>
      <c r="Q394" s="10" t="s">
        <v>1297</v>
      </c>
      <c r="R394" s="10" t="s">
        <v>1010</v>
      </c>
      <c r="S394" s="10" t="s">
        <v>1298</v>
      </c>
      <c r="T394" s="10" t="s">
        <v>1299</v>
      </c>
      <c r="U394" s="10" t="s">
        <v>131</v>
      </c>
      <c r="V394" s="10" t="n">
        <v>3</v>
      </c>
      <c r="W394" s="10" t="n">
        <v>2</v>
      </c>
      <c r="X394" s="10" t="s">
        <v>71</v>
      </c>
      <c r="Y394" s="10" t="s">
        <v>72</v>
      </c>
      <c r="Z394" s="10" t="s">
        <v>1300</v>
      </c>
      <c r="AA394" s="13" t="s">
        <v>1301</v>
      </c>
      <c r="AB394" s="13" t="s">
        <v>1068</v>
      </c>
      <c r="AC394" s="10"/>
      <c r="AD394" s="10"/>
      <c r="AE394" s="10"/>
      <c r="AF394" s="10"/>
    </row>
    <row r="395" customFormat="false" ht="15.75" hidden="false" customHeight="false" outlineLevel="0" collapsed="false">
      <c r="A395" s="11" t="n">
        <v>46132.8359621875</v>
      </c>
      <c r="B395" s="10" t="s">
        <v>1302</v>
      </c>
      <c r="C395" s="10" t="s">
        <v>1303</v>
      </c>
      <c r="D395" s="10" t="n">
        <v>49888363</v>
      </c>
      <c r="E395" s="10" t="s">
        <v>215</v>
      </c>
      <c r="F395" s="10" t="s">
        <v>1304</v>
      </c>
      <c r="G395" s="10" t="s">
        <v>1305</v>
      </c>
      <c r="H395" s="10" t="s">
        <v>1305</v>
      </c>
      <c r="I395" s="10" t="s">
        <v>63</v>
      </c>
      <c r="J395" s="10" t="s">
        <v>63</v>
      </c>
      <c r="K395" s="10" t="s">
        <v>1306</v>
      </c>
      <c r="L395" s="10" t="n">
        <v>1429</v>
      </c>
      <c r="M395" s="10" t="s">
        <v>1307</v>
      </c>
      <c r="N395" s="10" t="s">
        <v>1308</v>
      </c>
      <c r="O395" s="10" t="n">
        <v>1157195040</v>
      </c>
      <c r="P395" s="10" t="s">
        <v>1309</v>
      </c>
      <c r="Q395" s="10"/>
      <c r="R395" s="10"/>
      <c r="S395" s="10"/>
      <c r="T395" s="10"/>
      <c r="U395" s="10"/>
      <c r="V395" s="10" t="n">
        <v>2</v>
      </c>
      <c r="W395" s="10" t="n">
        <v>5</v>
      </c>
      <c r="X395" s="10" t="s">
        <v>198</v>
      </c>
      <c r="Y395" s="10" t="s">
        <v>72</v>
      </c>
      <c r="Z395" s="10" t="s">
        <v>383</v>
      </c>
      <c r="AA395" s="13" t="s">
        <v>1310</v>
      </c>
      <c r="AB395" s="13" t="s">
        <v>1068</v>
      </c>
      <c r="AC395" s="10"/>
      <c r="AD395" s="10"/>
      <c r="AE395" s="10"/>
      <c r="AF395" s="10"/>
    </row>
    <row r="396" customFormat="false" ht="15.75" hidden="false" customHeight="false" outlineLevel="0" collapsed="false">
      <c r="A396" s="11" t="n">
        <v>46127.6850595602</v>
      </c>
      <c r="B396" s="10" t="s">
        <v>1311</v>
      </c>
      <c r="C396" s="10" t="s">
        <v>1312</v>
      </c>
      <c r="D396" s="10" t="n">
        <v>50801088</v>
      </c>
      <c r="E396" s="10" t="s">
        <v>215</v>
      </c>
      <c r="F396" s="10" t="s">
        <v>1313</v>
      </c>
      <c r="G396" s="10" t="s">
        <v>1314</v>
      </c>
      <c r="H396" s="10" t="s">
        <v>1314</v>
      </c>
      <c r="I396" s="10" t="s">
        <v>82</v>
      </c>
      <c r="J396" s="10" t="s">
        <v>83</v>
      </c>
      <c r="K396" s="10" t="s">
        <v>1315</v>
      </c>
      <c r="L396" s="10" t="n">
        <v>1428</v>
      </c>
      <c r="M396" s="10" t="s">
        <v>1316</v>
      </c>
      <c r="N396" s="10" t="s">
        <v>1317</v>
      </c>
      <c r="O396" s="10" t="n">
        <v>1158632850</v>
      </c>
      <c r="P396" s="10" t="s">
        <v>1318</v>
      </c>
      <c r="Q396" s="10" t="s">
        <v>1319</v>
      </c>
      <c r="R396" s="10" t="s">
        <v>678</v>
      </c>
      <c r="S396" s="10" t="n">
        <v>1162262370</v>
      </c>
      <c r="T396" s="10" t="s">
        <v>1320</v>
      </c>
      <c r="U396" s="10"/>
      <c r="V396" s="10" t="n">
        <v>3</v>
      </c>
      <c r="W396" s="10" t="n">
        <v>3</v>
      </c>
      <c r="X396" s="10" t="s">
        <v>71</v>
      </c>
      <c r="Y396" s="10" t="s">
        <v>72</v>
      </c>
      <c r="Z396" s="10" t="s">
        <v>766</v>
      </c>
      <c r="AA396" s="13" t="s">
        <v>1321</v>
      </c>
      <c r="AB396" s="13" t="s">
        <v>1068</v>
      </c>
      <c r="AC396" s="10"/>
      <c r="AD396" s="10"/>
      <c r="AE396" s="10"/>
      <c r="AF396" s="10"/>
    </row>
    <row r="397" customFormat="false" ht="15.75" hidden="false" customHeight="false" outlineLevel="0" collapsed="false">
      <c r="A397" s="11" t="n">
        <v>46113.0195288426</v>
      </c>
      <c r="B397" s="10" t="s">
        <v>1322</v>
      </c>
      <c r="C397" s="10" t="s">
        <v>1323</v>
      </c>
      <c r="D397" s="10" t="n">
        <v>52672651</v>
      </c>
      <c r="E397" s="10" t="s">
        <v>215</v>
      </c>
      <c r="F397" s="10" t="s">
        <v>1324</v>
      </c>
      <c r="G397" s="10" t="s">
        <v>1325</v>
      </c>
      <c r="H397" s="10" t="s">
        <v>98</v>
      </c>
      <c r="I397" s="10" t="s">
        <v>1080</v>
      </c>
      <c r="J397" s="10" t="s">
        <v>1326</v>
      </c>
      <c r="K397" s="10" t="s">
        <v>1326</v>
      </c>
      <c r="L397" s="10" t="n">
        <v>1234</v>
      </c>
      <c r="M397" s="10" t="s">
        <v>1327</v>
      </c>
      <c r="N397" s="10" t="s">
        <v>1328</v>
      </c>
      <c r="O397" s="10" t="n">
        <v>1125623187</v>
      </c>
      <c r="P397" s="10" t="s">
        <v>1329</v>
      </c>
      <c r="Q397" s="10"/>
      <c r="R397" s="10"/>
      <c r="S397" s="10"/>
      <c r="T397" s="10"/>
      <c r="U397" s="10"/>
      <c r="V397" s="10" t="n">
        <v>1</v>
      </c>
      <c r="W397" s="10" t="n">
        <v>3</v>
      </c>
      <c r="X397" s="10" t="s">
        <v>71</v>
      </c>
      <c r="Y397" s="10" t="s">
        <v>72</v>
      </c>
      <c r="Z397" s="10" t="s">
        <v>221</v>
      </c>
      <c r="AA397" s="13" t="s">
        <v>1330</v>
      </c>
      <c r="AB397" s="13" t="s">
        <v>1068</v>
      </c>
      <c r="AC397" s="10"/>
      <c r="AD397" s="10"/>
      <c r="AE397" s="10"/>
      <c r="AF397" s="10"/>
    </row>
    <row r="398" customFormat="false" ht="15.75" hidden="false" customHeight="false" outlineLevel="0" collapsed="false">
      <c r="A398" s="11" t="n">
        <v>46117.6634599074</v>
      </c>
      <c r="B398" s="10" t="s">
        <v>1331</v>
      </c>
      <c r="C398" s="10" t="s">
        <v>1332</v>
      </c>
      <c r="D398" s="10" t="n">
        <v>52768263</v>
      </c>
      <c r="E398" s="10" t="s">
        <v>95</v>
      </c>
      <c r="F398" s="10" t="s">
        <v>1333</v>
      </c>
      <c r="G398" s="10" t="s">
        <v>1334</v>
      </c>
      <c r="H398" s="10" t="s">
        <v>1334</v>
      </c>
      <c r="I398" s="10" t="s">
        <v>82</v>
      </c>
      <c r="J398" s="10" t="s">
        <v>323</v>
      </c>
      <c r="K398" s="10" t="s">
        <v>1335</v>
      </c>
      <c r="L398" s="10" t="n">
        <v>1426</v>
      </c>
      <c r="M398" s="10" t="s">
        <v>1336</v>
      </c>
      <c r="N398" s="10" t="s">
        <v>1337</v>
      </c>
      <c r="O398" s="10" t="n">
        <v>1157426306</v>
      </c>
      <c r="P398" s="10" t="s">
        <v>1338</v>
      </c>
      <c r="Q398" s="10" t="s">
        <v>1339</v>
      </c>
      <c r="R398" s="10" t="s">
        <v>1340</v>
      </c>
      <c r="S398" s="10" t="n">
        <v>1157426193</v>
      </c>
      <c r="T398" s="10" t="s">
        <v>1341</v>
      </c>
      <c r="U398" s="10" t="s">
        <v>1342</v>
      </c>
      <c r="V398" s="10" t="n">
        <v>1</v>
      </c>
      <c r="W398" s="10" t="n">
        <v>5</v>
      </c>
      <c r="X398" s="10" t="s">
        <v>71</v>
      </c>
      <c r="Y398" s="10" t="s">
        <v>72</v>
      </c>
      <c r="Z398" s="10" t="s">
        <v>766</v>
      </c>
      <c r="AA398" s="13" t="s">
        <v>1343</v>
      </c>
      <c r="AB398" s="13" t="s">
        <v>1068</v>
      </c>
      <c r="AC398" s="10"/>
      <c r="AD398" s="10"/>
      <c r="AE398" s="10"/>
      <c r="AF398" s="10"/>
    </row>
    <row r="399" customFormat="false" ht="15.75" hidden="false" customHeight="false" outlineLevel="0" collapsed="false">
      <c r="A399" s="11" t="n">
        <v>46113.8627600579</v>
      </c>
      <c r="B399" s="10" t="s">
        <v>1282</v>
      </c>
      <c r="C399" s="10" t="s">
        <v>1344</v>
      </c>
      <c r="D399" s="10" t="n">
        <v>51585677</v>
      </c>
      <c r="E399" s="10" t="s">
        <v>323</v>
      </c>
      <c r="F399" s="10" t="s">
        <v>1345</v>
      </c>
      <c r="G399" s="10" t="s">
        <v>1346</v>
      </c>
      <c r="H399" s="10" t="s">
        <v>1347</v>
      </c>
      <c r="I399" s="10" t="s">
        <v>323</v>
      </c>
      <c r="J399" s="10" t="s">
        <v>323</v>
      </c>
      <c r="K399" s="10" t="s">
        <v>323</v>
      </c>
      <c r="L399" s="10" t="n">
        <v>0</v>
      </c>
      <c r="M399" s="10" t="s">
        <v>1348</v>
      </c>
      <c r="N399" s="10" t="s">
        <v>323</v>
      </c>
      <c r="O399" s="10" t="n">
        <v>1169106545</v>
      </c>
      <c r="P399" s="10" t="s">
        <v>1349</v>
      </c>
      <c r="Q399" s="10" t="s">
        <v>1350</v>
      </c>
      <c r="R399" s="10"/>
      <c r="S399" s="10"/>
      <c r="T399" s="10"/>
      <c r="U399" s="10" t="s">
        <v>323</v>
      </c>
      <c r="V399" s="10" t="n">
        <v>2</v>
      </c>
      <c r="W399" s="10" t="n">
        <v>3</v>
      </c>
      <c r="X399" s="10" t="s">
        <v>71</v>
      </c>
      <c r="Y399" s="10" t="s">
        <v>72</v>
      </c>
      <c r="Z399" s="10" t="s">
        <v>329</v>
      </c>
      <c r="AA399" s="13" t="s">
        <v>1351</v>
      </c>
      <c r="AB399" s="13" t="s">
        <v>1068</v>
      </c>
      <c r="AC399" s="10"/>
      <c r="AD399" s="10"/>
      <c r="AE399" s="10"/>
      <c r="AF399" s="10"/>
    </row>
    <row r="400" customFormat="false" ht="15.75" hidden="false" customHeight="false" outlineLevel="0" collapsed="false">
      <c r="A400" s="11" t="n">
        <v>46128.48622625</v>
      </c>
      <c r="B400" s="10" t="s">
        <v>1352</v>
      </c>
      <c r="C400" s="10" t="s">
        <v>1353</v>
      </c>
      <c r="D400" s="10" t="n">
        <v>50581239</v>
      </c>
      <c r="E400" s="10" t="s">
        <v>293</v>
      </c>
      <c r="F400" s="12" t="n">
        <v>40248</v>
      </c>
      <c r="G400" s="10" t="s">
        <v>1354</v>
      </c>
      <c r="H400" s="10" t="s">
        <v>1355</v>
      </c>
      <c r="I400" s="10" t="s">
        <v>82</v>
      </c>
      <c r="J400" s="10" t="s">
        <v>1356</v>
      </c>
      <c r="K400" s="10" t="s">
        <v>1357</v>
      </c>
      <c r="L400" s="10" t="n">
        <v>1429</v>
      </c>
      <c r="M400" s="10" t="s">
        <v>1358</v>
      </c>
      <c r="N400" s="10" t="s">
        <v>1359</v>
      </c>
      <c r="O400" s="10" t="n">
        <v>1139502976</v>
      </c>
      <c r="P400" s="10" t="s">
        <v>1360</v>
      </c>
      <c r="Q400" s="10"/>
      <c r="R400" s="10"/>
      <c r="S400" s="10"/>
      <c r="T400" s="10"/>
      <c r="U400" s="10"/>
      <c r="V400" s="10" t="n">
        <v>3</v>
      </c>
      <c r="W400" s="10" t="n">
        <v>3</v>
      </c>
      <c r="X400" s="10" t="s">
        <v>71</v>
      </c>
      <c r="Y400" s="10" t="s">
        <v>72</v>
      </c>
      <c r="Z400" s="10" t="s">
        <v>308</v>
      </c>
      <c r="AA400" s="13" t="s">
        <v>1361</v>
      </c>
      <c r="AB400" s="13" t="s">
        <v>1068</v>
      </c>
      <c r="AC400" s="10"/>
      <c r="AD400" s="10"/>
      <c r="AE400" s="10"/>
      <c r="AF400" s="10"/>
    </row>
    <row r="401" customFormat="false" ht="15.75" hidden="false" customHeight="false" outlineLevel="0" collapsed="false">
      <c r="A401" s="11" t="n">
        <v>46140.4681545949</v>
      </c>
      <c r="B401" s="10" t="s">
        <v>1352</v>
      </c>
      <c r="C401" s="10" t="s">
        <v>292</v>
      </c>
      <c r="D401" s="10" t="n">
        <v>49437544</v>
      </c>
      <c r="E401" s="10" t="s">
        <v>107</v>
      </c>
      <c r="F401" s="10" t="s">
        <v>1362</v>
      </c>
      <c r="G401" s="10" t="s">
        <v>1363</v>
      </c>
      <c r="H401" s="10" t="s">
        <v>1364</v>
      </c>
      <c r="I401" s="10" t="s">
        <v>82</v>
      </c>
      <c r="J401" s="10" t="s">
        <v>1365</v>
      </c>
      <c r="K401" s="10" t="s">
        <v>1366</v>
      </c>
      <c r="L401" s="10" t="n">
        <v>1429</v>
      </c>
      <c r="M401" s="10" t="s">
        <v>1367</v>
      </c>
      <c r="N401" s="10" t="s">
        <v>1368</v>
      </c>
      <c r="O401" s="10" t="n">
        <v>1160533646</v>
      </c>
      <c r="P401" s="10" t="s">
        <v>1369</v>
      </c>
      <c r="Q401" s="10"/>
      <c r="R401" s="10"/>
      <c r="S401" s="10"/>
      <c r="T401" s="10"/>
      <c r="U401" s="10"/>
      <c r="V401" s="10" t="n">
        <v>5</v>
      </c>
      <c r="W401" s="10" t="n">
        <v>1</v>
      </c>
      <c r="X401" s="10" t="s">
        <v>71</v>
      </c>
      <c r="Y401" s="10" t="s">
        <v>90</v>
      </c>
      <c r="Z401" s="10" t="s">
        <v>618</v>
      </c>
      <c r="AA401" s="13" t="s">
        <v>1370</v>
      </c>
      <c r="AB401" s="13" t="s">
        <v>1068</v>
      </c>
      <c r="AC401" s="10"/>
      <c r="AD401" s="10"/>
      <c r="AE401" s="10"/>
      <c r="AF401" s="10"/>
    </row>
    <row r="402" customFormat="false" ht="15.75" hidden="false" customHeight="false" outlineLevel="0" collapsed="false">
      <c r="A402" s="11" t="n">
        <v>46127.6821032755</v>
      </c>
      <c r="B402" s="10" t="s">
        <v>1371</v>
      </c>
      <c r="C402" s="10" t="s">
        <v>757</v>
      </c>
      <c r="D402" s="10" t="n">
        <v>49437501</v>
      </c>
      <c r="E402" s="10" t="s">
        <v>60</v>
      </c>
      <c r="F402" s="10" t="s">
        <v>1372</v>
      </c>
      <c r="G402" s="10" t="s">
        <v>1373</v>
      </c>
      <c r="H402" s="10" t="s">
        <v>1373</v>
      </c>
      <c r="I402" s="10" t="s">
        <v>82</v>
      </c>
      <c r="J402" s="10" t="s">
        <v>1374</v>
      </c>
      <c r="K402" s="10" t="s">
        <v>1375</v>
      </c>
      <c r="L402" s="10" t="n">
        <v>1431</v>
      </c>
      <c r="M402" s="10" t="s">
        <v>1376</v>
      </c>
      <c r="N402" s="10" t="s">
        <v>1377</v>
      </c>
      <c r="O402" s="10" t="n">
        <v>1149167747</v>
      </c>
      <c r="P402" s="10" t="s">
        <v>1378</v>
      </c>
      <c r="Q402" s="10" t="s">
        <v>1379</v>
      </c>
      <c r="R402" s="10" t="s">
        <v>1380</v>
      </c>
      <c r="S402" s="10" t="n">
        <v>1154875551</v>
      </c>
      <c r="T402" s="10" t="s">
        <v>1381</v>
      </c>
      <c r="U402" s="10"/>
      <c r="V402" s="10" t="n">
        <v>3</v>
      </c>
      <c r="W402" s="10" t="n">
        <v>5</v>
      </c>
      <c r="X402" s="10" t="s">
        <v>71</v>
      </c>
      <c r="Y402" s="10" t="s">
        <v>72</v>
      </c>
      <c r="Z402" s="10" t="s">
        <v>766</v>
      </c>
      <c r="AA402" s="13" t="s">
        <v>1382</v>
      </c>
      <c r="AB402" s="13" t="s">
        <v>1068</v>
      </c>
      <c r="AC402" s="10"/>
      <c r="AD402" s="10"/>
      <c r="AE402" s="10"/>
      <c r="AF402" s="10"/>
    </row>
    <row r="403" customFormat="false" ht="15.75" hidden="false" customHeight="false" outlineLevel="0" collapsed="false">
      <c r="A403" s="11" t="n">
        <v>46112.4596366667</v>
      </c>
      <c r="B403" s="10" t="s">
        <v>1371</v>
      </c>
      <c r="C403" s="10" t="s">
        <v>1383</v>
      </c>
      <c r="D403" s="10" t="n">
        <v>52789341</v>
      </c>
      <c r="E403" s="10" t="s">
        <v>107</v>
      </c>
      <c r="F403" s="10" t="s">
        <v>1384</v>
      </c>
      <c r="G403" s="10" t="s">
        <v>1385</v>
      </c>
      <c r="H403" s="10" t="s">
        <v>98</v>
      </c>
      <c r="I403" s="10" t="s">
        <v>82</v>
      </c>
      <c r="J403" s="10" t="s">
        <v>152</v>
      </c>
      <c r="K403" s="10" t="s">
        <v>1386</v>
      </c>
      <c r="L403" s="10" t="n">
        <v>1430</v>
      </c>
      <c r="M403" s="10" t="s">
        <v>1387</v>
      </c>
      <c r="N403" s="10" t="s">
        <v>1388</v>
      </c>
      <c r="O403" s="10" t="n">
        <v>1164802039</v>
      </c>
      <c r="P403" s="10" t="s">
        <v>1389</v>
      </c>
      <c r="Q403" s="10" t="s">
        <v>88</v>
      </c>
      <c r="R403" s="10" t="s">
        <v>1371</v>
      </c>
      <c r="S403" s="10" t="n">
        <v>1162846051</v>
      </c>
      <c r="T403" s="10" t="s">
        <v>1390</v>
      </c>
      <c r="U403" s="10" t="s">
        <v>1391</v>
      </c>
      <c r="V403" s="10" t="n">
        <v>1</v>
      </c>
      <c r="W403" s="10" t="n">
        <v>1</v>
      </c>
      <c r="X403" s="10" t="s">
        <v>71</v>
      </c>
      <c r="Y403" s="10" t="s">
        <v>72</v>
      </c>
      <c r="Z403" s="10" t="s">
        <v>627</v>
      </c>
      <c r="AA403" s="13" t="s">
        <v>1392</v>
      </c>
      <c r="AB403" s="13" t="s">
        <v>1068</v>
      </c>
      <c r="AC403" s="10"/>
      <c r="AD403" s="10"/>
      <c r="AE403" s="10"/>
      <c r="AF403" s="10"/>
    </row>
    <row r="404" customFormat="false" ht="15.75" hidden="false" customHeight="false" outlineLevel="0" collapsed="false">
      <c r="A404" s="11" t="n">
        <v>46120.4743792361</v>
      </c>
      <c r="B404" s="10" t="s">
        <v>1393</v>
      </c>
      <c r="C404" s="10" t="s">
        <v>1394</v>
      </c>
      <c r="D404" s="10" t="n">
        <v>52137722</v>
      </c>
      <c r="E404" s="10" t="s">
        <v>60</v>
      </c>
      <c r="F404" s="10" t="s">
        <v>1395</v>
      </c>
      <c r="G404" s="10" t="s">
        <v>1396</v>
      </c>
      <c r="H404" s="10" t="s">
        <v>1396</v>
      </c>
      <c r="I404" s="10" t="s">
        <v>82</v>
      </c>
      <c r="J404" s="10" t="s">
        <v>82</v>
      </c>
      <c r="K404" s="10" t="s">
        <v>396</v>
      </c>
      <c r="L404" s="10" t="s">
        <v>397</v>
      </c>
      <c r="M404" s="10" t="s">
        <v>1397</v>
      </c>
      <c r="N404" s="10" t="s">
        <v>1398</v>
      </c>
      <c r="O404" s="10" t="n">
        <v>1565957901</v>
      </c>
      <c r="P404" s="10" t="s">
        <v>1399</v>
      </c>
      <c r="Q404" s="10" t="s">
        <v>860</v>
      </c>
      <c r="R404" s="10"/>
      <c r="S404" s="10" t="n">
        <v>1567457419</v>
      </c>
      <c r="T404" s="10"/>
      <c r="U404" s="10"/>
      <c r="V404" s="10" t="n">
        <v>2</v>
      </c>
      <c r="W404" s="10" t="n">
        <v>6</v>
      </c>
      <c r="X404" s="10" t="s">
        <v>71</v>
      </c>
      <c r="Y404" s="10" t="s">
        <v>72</v>
      </c>
      <c r="Z404" s="10" t="s">
        <v>404</v>
      </c>
      <c r="AA404" s="13" t="s">
        <v>1400</v>
      </c>
      <c r="AB404" s="13" t="s">
        <v>1068</v>
      </c>
      <c r="AC404" s="10"/>
      <c r="AD404" s="10"/>
      <c r="AE404" s="10"/>
      <c r="AF404" s="10"/>
    </row>
    <row r="405" customFormat="false" ht="15.75" hidden="false" customHeight="false" outlineLevel="0" collapsed="false">
      <c r="A405" s="11" t="n">
        <v>46128.4886956944</v>
      </c>
      <c r="B405" s="10" t="s">
        <v>1401</v>
      </c>
      <c r="C405" s="10" t="s">
        <v>1402</v>
      </c>
      <c r="D405" s="10" t="n">
        <v>51121136</v>
      </c>
      <c r="E405" s="10" t="s">
        <v>60</v>
      </c>
      <c r="F405" s="10" t="s">
        <v>1403</v>
      </c>
      <c r="G405" s="10" t="s">
        <v>1404</v>
      </c>
      <c r="H405" s="10" t="s">
        <v>98</v>
      </c>
      <c r="I405" s="10" t="s">
        <v>1405</v>
      </c>
      <c r="J405" s="10" t="s">
        <v>1406</v>
      </c>
      <c r="K405" s="10" t="s">
        <v>1407</v>
      </c>
      <c r="L405" s="10" t="n">
        <v>1429</v>
      </c>
      <c r="M405" s="10" t="s">
        <v>1408</v>
      </c>
      <c r="N405" s="10" t="s">
        <v>158</v>
      </c>
      <c r="O405" s="10" t="n">
        <v>1130175791</v>
      </c>
      <c r="P405" s="10" t="s">
        <v>1409</v>
      </c>
      <c r="Q405" s="10"/>
      <c r="R405" s="10"/>
      <c r="S405" s="10"/>
      <c r="T405" s="10"/>
      <c r="U405" s="10"/>
      <c r="V405" s="10" t="n">
        <v>3</v>
      </c>
      <c r="W405" s="10" t="n">
        <v>3</v>
      </c>
      <c r="X405" s="10" t="s">
        <v>71</v>
      </c>
      <c r="Y405" s="10" t="s">
        <v>72</v>
      </c>
      <c r="Z405" s="10" t="s">
        <v>794</v>
      </c>
      <c r="AA405" s="13" t="s">
        <v>1410</v>
      </c>
      <c r="AB405" s="13" t="s">
        <v>1068</v>
      </c>
      <c r="AC405" s="10"/>
      <c r="AD405" s="10"/>
      <c r="AE405" s="10"/>
      <c r="AF405" s="10"/>
    </row>
    <row r="406" customFormat="false" ht="15.75" hidden="false" customHeight="false" outlineLevel="0" collapsed="false">
      <c r="A406" s="11" t="n">
        <v>46129.4736630671</v>
      </c>
      <c r="B406" s="10" t="s">
        <v>1411</v>
      </c>
      <c r="C406" s="10" t="s">
        <v>1412</v>
      </c>
      <c r="D406" s="10" t="n">
        <v>50048539</v>
      </c>
      <c r="E406" s="10" t="s">
        <v>107</v>
      </c>
      <c r="F406" s="12" t="n">
        <v>40239</v>
      </c>
      <c r="G406" s="10" t="s">
        <v>1413</v>
      </c>
      <c r="H406" s="10" t="s">
        <v>98</v>
      </c>
      <c r="I406" s="10" t="s">
        <v>82</v>
      </c>
      <c r="J406" s="10" t="s">
        <v>152</v>
      </c>
      <c r="K406" s="10" t="s">
        <v>1414</v>
      </c>
      <c r="L406" s="10" t="n">
        <v>1430</v>
      </c>
      <c r="M406" s="10" t="s">
        <v>1415</v>
      </c>
      <c r="N406" s="10" t="s">
        <v>1411</v>
      </c>
      <c r="O406" s="10" t="n">
        <v>1170817244</v>
      </c>
      <c r="P406" s="10" t="s">
        <v>1416</v>
      </c>
      <c r="Q406" s="10" t="s">
        <v>1417</v>
      </c>
      <c r="R406" s="10" t="s">
        <v>1418</v>
      </c>
      <c r="S406" s="10" t="n">
        <v>1168181922</v>
      </c>
      <c r="T406" s="10" t="s">
        <v>1419</v>
      </c>
      <c r="U406" s="10" t="s">
        <v>229</v>
      </c>
      <c r="V406" s="10" t="n">
        <v>4</v>
      </c>
      <c r="W406" s="10" t="n">
        <v>1</v>
      </c>
      <c r="X406" s="10" t="s">
        <v>71</v>
      </c>
      <c r="Y406" s="10" t="s">
        <v>90</v>
      </c>
      <c r="Z406" s="10" t="s">
        <v>91</v>
      </c>
      <c r="AA406" s="13" t="s">
        <v>1420</v>
      </c>
      <c r="AB406" s="13" t="s">
        <v>1068</v>
      </c>
      <c r="AC406" s="10"/>
      <c r="AD406" s="10"/>
      <c r="AE406" s="10"/>
      <c r="AF406" s="10"/>
    </row>
    <row r="407" customFormat="false" ht="15.75" hidden="false" customHeight="false" outlineLevel="0" collapsed="false">
      <c r="A407" s="11" t="n">
        <v>46113.8652570718</v>
      </c>
      <c r="B407" s="10" t="s">
        <v>1421</v>
      </c>
      <c r="C407" s="10" t="s">
        <v>1422</v>
      </c>
      <c r="D407" s="10" t="n">
        <v>52452093</v>
      </c>
      <c r="E407" s="10" t="s">
        <v>323</v>
      </c>
      <c r="F407" s="12" t="n">
        <v>41127</v>
      </c>
      <c r="G407" s="10" t="s">
        <v>1423</v>
      </c>
      <c r="H407" s="10" t="s">
        <v>1424</v>
      </c>
      <c r="I407" s="10" t="s">
        <v>323</v>
      </c>
      <c r="J407" s="10" t="s">
        <v>323</v>
      </c>
      <c r="K407" s="10" t="s">
        <v>323</v>
      </c>
      <c r="L407" s="10" t="n">
        <v>0</v>
      </c>
      <c r="M407" s="10" t="s">
        <v>1348</v>
      </c>
      <c r="N407" s="10" t="s">
        <v>323</v>
      </c>
      <c r="O407" s="10" t="n">
        <v>1128164046</v>
      </c>
      <c r="P407" s="10" t="s">
        <v>1425</v>
      </c>
      <c r="Q407" s="10" t="s">
        <v>1426</v>
      </c>
      <c r="R407" s="10"/>
      <c r="S407" s="10"/>
      <c r="T407" s="10"/>
      <c r="U407" s="10" t="s">
        <v>323</v>
      </c>
      <c r="V407" s="10" t="n">
        <v>2</v>
      </c>
      <c r="W407" s="10" t="n">
        <v>3</v>
      </c>
      <c r="X407" s="10" t="s">
        <v>71</v>
      </c>
      <c r="Y407" s="10" t="s">
        <v>72</v>
      </c>
      <c r="Z407" s="10" t="s">
        <v>329</v>
      </c>
      <c r="AA407" s="13" t="s">
        <v>1427</v>
      </c>
      <c r="AB407" s="13" t="s">
        <v>1068</v>
      </c>
      <c r="AC407" s="10"/>
      <c r="AD407" s="10"/>
      <c r="AE407" s="10"/>
      <c r="AF407" s="10"/>
    </row>
    <row r="408" customFormat="false" ht="15.75" hidden="false" customHeight="false" outlineLevel="0" collapsed="false">
      <c r="A408" s="11" t="n">
        <v>46127.6186411806</v>
      </c>
      <c r="B408" s="10" t="s">
        <v>1428</v>
      </c>
      <c r="C408" s="10" t="s">
        <v>1429</v>
      </c>
      <c r="D408" s="10" t="n">
        <v>96118935</v>
      </c>
      <c r="E408" s="10" t="s">
        <v>1430</v>
      </c>
      <c r="F408" s="10" t="s">
        <v>1431</v>
      </c>
      <c r="G408" s="10" t="s">
        <v>1432</v>
      </c>
      <c r="H408" s="10" t="s">
        <v>131</v>
      </c>
      <c r="I408" s="10" t="s">
        <v>82</v>
      </c>
      <c r="J408" s="10" t="s">
        <v>1433</v>
      </c>
      <c r="K408" s="10" t="s">
        <v>1434</v>
      </c>
      <c r="L408" s="10" t="n">
        <v>1428</v>
      </c>
      <c r="M408" s="10" t="s">
        <v>1435</v>
      </c>
      <c r="N408" s="10" t="s">
        <v>1436</v>
      </c>
      <c r="O408" s="10" t="n">
        <v>1127189086</v>
      </c>
      <c r="P408" s="10" t="s">
        <v>1437</v>
      </c>
      <c r="Q408" s="10"/>
      <c r="R408" s="10"/>
      <c r="S408" s="10"/>
      <c r="T408" s="10"/>
      <c r="U408" s="10"/>
      <c r="V408" s="10" t="n">
        <v>3</v>
      </c>
      <c r="W408" s="10" t="n">
        <v>2</v>
      </c>
      <c r="X408" s="10" t="s">
        <v>71</v>
      </c>
      <c r="Y408" s="10" t="s">
        <v>72</v>
      </c>
      <c r="Z408" s="10" t="s">
        <v>73</v>
      </c>
      <c r="AA408" s="13" t="s">
        <v>1438</v>
      </c>
      <c r="AB408" s="13" t="s">
        <v>1068</v>
      </c>
      <c r="AC408" s="10"/>
      <c r="AD408" s="10"/>
      <c r="AE408" s="10"/>
      <c r="AF408" s="10"/>
    </row>
    <row r="409" customFormat="false" ht="15.75" hidden="false" customHeight="false" outlineLevel="0" collapsed="false">
      <c r="A409" s="11" t="n">
        <v>46133.6758002199</v>
      </c>
      <c r="B409" s="10" t="s">
        <v>1439</v>
      </c>
      <c r="C409" s="10" t="s">
        <v>651</v>
      </c>
      <c r="D409" s="10" t="n">
        <v>49094372</v>
      </c>
      <c r="E409" s="10" t="s">
        <v>1440</v>
      </c>
      <c r="F409" s="12" t="n">
        <v>39764</v>
      </c>
      <c r="G409" s="10" t="s">
        <v>1441</v>
      </c>
      <c r="H409" s="10" t="s">
        <v>98</v>
      </c>
      <c r="I409" s="10" t="s">
        <v>82</v>
      </c>
      <c r="J409" s="10" t="s">
        <v>528</v>
      </c>
      <c r="K409" s="10" t="s">
        <v>1442</v>
      </c>
      <c r="L409" s="10" t="n">
        <v>1429</v>
      </c>
      <c r="M409" s="10" t="s">
        <v>1443</v>
      </c>
      <c r="N409" s="10" t="s">
        <v>1444</v>
      </c>
      <c r="O409" s="10" t="n">
        <v>58795648</v>
      </c>
      <c r="P409" s="10" t="s">
        <v>1445</v>
      </c>
      <c r="Q409" s="10" t="s">
        <v>1446</v>
      </c>
      <c r="R409" s="10" t="s">
        <v>1447</v>
      </c>
      <c r="S409" s="10" t="s">
        <v>1448</v>
      </c>
      <c r="T409" s="10" t="s">
        <v>1449</v>
      </c>
      <c r="U409" s="10"/>
      <c r="V409" s="10" t="n">
        <v>5</v>
      </c>
      <c r="W409" s="10" t="n">
        <v>1</v>
      </c>
      <c r="X409" s="10" t="s">
        <v>71</v>
      </c>
      <c r="Y409" s="10" t="s">
        <v>132</v>
      </c>
      <c r="Z409" s="10" t="s">
        <v>211</v>
      </c>
      <c r="AA409" s="13" t="s">
        <v>1450</v>
      </c>
      <c r="AB409" s="13" t="s">
        <v>1068</v>
      </c>
      <c r="AC409" s="10"/>
      <c r="AD409" s="10"/>
      <c r="AE409" s="10"/>
      <c r="AF409" s="10"/>
    </row>
    <row r="410" customFormat="false" ht="15.75" hidden="false" customHeight="false" outlineLevel="0" collapsed="false">
      <c r="A410" s="11" t="n">
        <v>46134.6046484491</v>
      </c>
      <c r="B410" s="10" t="s">
        <v>1451</v>
      </c>
      <c r="C410" s="10" t="s">
        <v>1452</v>
      </c>
      <c r="D410" s="10" t="n">
        <v>50031735</v>
      </c>
      <c r="E410" s="10" t="s">
        <v>60</v>
      </c>
      <c r="F410" s="10" t="n">
        <v>18022010</v>
      </c>
      <c r="G410" s="10" t="s">
        <v>1453</v>
      </c>
      <c r="H410" s="10" t="s">
        <v>1454</v>
      </c>
      <c r="I410" s="10" t="s">
        <v>1455</v>
      </c>
      <c r="J410" s="10" t="s">
        <v>1456</v>
      </c>
      <c r="K410" s="10" t="s">
        <v>1457</v>
      </c>
      <c r="L410" s="10" t="n">
        <v>1430</v>
      </c>
      <c r="M410" s="10" t="s">
        <v>1458</v>
      </c>
      <c r="N410" s="10" t="s">
        <v>1451</v>
      </c>
      <c r="O410" s="10" t="e">
        <f aca="false">#error!</f>
        <v>#NAME?</v>
      </c>
      <c r="P410" s="10" t="s">
        <v>1459</v>
      </c>
      <c r="Q410" s="10"/>
      <c r="R410" s="10"/>
      <c r="S410" s="10"/>
      <c r="T410" s="10"/>
      <c r="U410" s="10"/>
      <c r="V410" s="10" t="n">
        <v>4</v>
      </c>
      <c r="W410" s="10" t="n">
        <v>1</v>
      </c>
      <c r="X410" s="10" t="s">
        <v>71</v>
      </c>
      <c r="Y410" s="10" t="s">
        <v>132</v>
      </c>
      <c r="Z410" s="10" t="s">
        <v>133</v>
      </c>
      <c r="AA410" s="13" t="s">
        <v>1460</v>
      </c>
      <c r="AB410" s="13" t="s">
        <v>1068</v>
      </c>
      <c r="AC410" s="10"/>
      <c r="AD410" s="10"/>
      <c r="AE410" s="10"/>
      <c r="AF410" s="10"/>
    </row>
    <row r="411" customFormat="false" ht="15.75" hidden="false" customHeight="false" outlineLevel="0" collapsed="false">
      <c r="A411" s="11" t="n">
        <v>46113.0219260069</v>
      </c>
      <c r="B411" s="10" t="s">
        <v>1461</v>
      </c>
      <c r="C411" s="10" t="s">
        <v>1462</v>
      </c>
      <c r="D411" s="10" t="n">
        <v>52606595</v>
      </c>
      <c r="E411" s="10" t="s">
        <v>107</v>
      </c>
      <c r="F411" s="10" t="s">
        <v>1463</v>
      </c>
      <c r="G411" s="10" t="s">
        <v>1464</v>
      </c>
      <c r="H411" s="10" t="s">
        <v>98</v>
      </c>
      <c r="I411" s="10" t="s">
        <v>1080</v>
      </c>
      <c r="J411" s="10" t="s">
        <v>243</v>
      </c>
      <c r="K411" s="10" t="s">
        <v>243</v>
      </c>
      <c r="L411" s="10" t="n">
        <v>1234</v>
      </c>
      <c r="M411" s="10" t="s">
        <v>1465</v>
      </c>
      <c r="N411" s="10" t="s">
        <v>1466</v>
      </c>
      <c r="O411" s="10" t="n">
        <v>1135041405</v>
      </c>
      <c r="P411" s="10" t="s">
        <v>1467</v>
      </c>
      <c r="Q411" s="10"/>
      <c r="R411" s="10"/>
      <c r="S411" s="10"/>
      <c r="T411" s="10"/>
      <c r="U411" s="10"/>
      <c r="V411" s="10" t="n">
        <v>1</v>
      </c>
      <c r="W411" s="10" t="n">
        <v>3</v>
      </c>
      <c r="X411" s="10" t="s">
        <v>71</v>
      </c>
      <c r="Y411" s="10" t="s">
        <v>72</v>
      </c>
      <c r="Z411" s="10" t="s">
        <v>221</v>
      </c>
      <c r="AA411" s="13" t="s">
        <v>1468</v>
      </c>
      <c r="AB411" s="13" t="s">
        <v>1469</v>
      </c>
      <c r="AC411" s="10"/>
      <c r="AD411" s="10"/>
      <c r="AE411" s="10"/>
      <c r="AF411" s="10"/>
    </row>
    <row r="412" customFormat="false" ht="15.75" hidden="false" customHeight="false" outlineLevel="0" collapsed="false">
      <c r="A412" s="11" t="n">
        <v>46133.6778884259</v>
      </c>
      <c r="B412" s="10" t="s">
        <v>1470</v>
      </c>
      <c r="C412" s="10" t="s">
        <v>1471</v>
      </c>
      <c r="D412" s="10" t="n">
        <v>48802076</v>
      </c>
      <c r="E412" s="10" t="s">
        <v>107</v>
      </c>
      <c r="F412" s="12" t="n">
        <v>39546</v>
      </c>
      <c r="G412" s="10" t="s">
        <v>1472</v>
      </c>
      <c r="H412" s="10" t="s">
        <v>1472</v>
      </c>
      <c r="I412" s="10" t="s">
        <v>82</v>
      </c>
      <c r="J412" s="10" t="s">
        <v>1473</v>
      </c>
      <c r="K412" s="10" t="s">
        <v>1474</v>
      </c>
      <c r="L412" s="10" t="n">
        <v>1431</v>
      </c>
      <c r="M412" s="10" t="s">
        <v>1475</v>
      </c>
      <c r="N412" s="10" t="s">
        <v>1476</v>
      </c>
      <c r="O412" s="10" t="n">
        <v>1161823593</v>
      </c>
      <c r="P412" s="10" t="s">
        <v>1477</v>
      </c>
      <c r="Q412" s="10" t="s">
        <v>1478</v>
      </c>
      <c r="R412" s="10" t="s">
        <v>1479</v>
      </c>
      <c r="S412" s="10" t="n">
        <v>1157489862</v>
      </c>
      <c r="T412" s="10" t="s">
        <v>1480</v>
      </c>
      <c r="U412" s="10"/>
      <c r="V412" s="10" t="n">
        <v>5</v>
      </c>
      <c r="W412" s="10" t="n">
        <v>1</v>
      </c>
      <c r="X412" s="10" t="s">
        <v>71</v>
      </c>
      <c r="Y412" s="10" t="s">
        <v>132</v>
      </c>
      <c r="Z412" s="10" t="s">
        <v>708</v>
      </c>
      <c r="AA412" s="13" t="s">
        <v>1481</v>
      </c>
      <c r="AB412" s="13" t="s">
        <v>1469</v>
      </c>
      <c r="AC412" s="10"/>
      <c r="AD412" s="10"/>
      <c r="AE412" s="10"/>
      <c r="AF412" s="10"/>
    </row>
    <row r="413" customFormat="false" ht="15.75" hidden="false" customHeight="false" outlineLevel="0" collapsed="false">
      <c r="A413" s="11" t="n">
        <v>46126.6062862269</v>
      </c>
      <c r="B413" s="10" t="s">
        <v>1482</v>
      </c>
      <c r="C413" s="10" t="s">
        <v>1483</v>
      </c>
      <c r="D413" s="10" t="n">
        <v>52960306</v>
      </c>
      <c r="E413" s="10" t="s">
        <v>215</v>
      </c>
      <c r="F413" s="10" t="s">
        <v>1484</v>
      </c>
      <c r="G413" s="10" t="s">
        <v>1485</v>
      </c>
      <c r="H413" s="10" t="s">
        <v>1189</v>
      </c>
      <c r="I413" s="10" t="s">
        <v>449</v>
      </c>
      <c r="J413" s="10" t="s">
        <v>1081</v>
      </c>
      <c r="K413" s="10" t="s">
        <v>1486</v>
      </c>
      <c r="L413" s="10" t="n">
        <v>1430</v>
      </c>
      <c r="M413" s="10" t="s">
        <v>1277</v>
      </c>
      <c r="N413" s="10" t="s">
        <v>1482</v>
      </c>
      <c r="O413" s="10" t="n">
        <v>1136760371</v>
      </c>
      <c r="P413" s="10" t="s">
        <v>1487</v>
      </c>
      <c r="Q413" s="10"/>
      <c r="R413" s="10"/>
      <c r="S413" s="10"/>
      <c r="T413" s="10"/>
      <c r="U413" s="10"/>
      <c r="V413" s="10" t="n">
        <v>1</v>
      </c>
      <c r="W413" s="10" t="n">
        <v>4</v>
      </c>
      <c r="X413" s="10" t="s">
        <v>71</v>
      </c>
      <c r="Y413" s="10" t="s">
        <v>72</v>
      </c>
      <c r="Z413" s="10" t="s">
        <v>454</v>
      </c>
      <c r="AA413" s="13" t="s">
        <v>1488</v>
      </c>
      <c r="AB413" s="13" t="s">
        <v>1469</v>
      </c>
      <c r="AC413" s="10"/>
      <c r="AD413" s="10"/>
      <c r="AE413" s="10"/>
      <c r="AF413" s="10"/>
    </row>
    <row r="414" customFormat="false" ht="15.75" hidden="false" customHeight="false" outlineLevel="0" collapsed="false">
      <c r="A414" s="11" t="n">
        <v>46128.4234820255</v>
      </c>
      <c r="B414" s="10" t="s">
        <v>1489</v>
      </c>
      <c r="C414" s="10" t="s">
        <v>1490</v>
      </c>
      <c r="D414" s="10" t="n">
        <v>52852932</v>
      </c>
      <c r="E414" s="10" t="s">
        <v>215</v>
      </c>
      <c r="F414" s="10"/>
      <c r="G414" s="10" t="s">
        <v>1491</v>
      </c>
      <c r="H414" s="10" t="s">
        <v>98</v>
      </c>
      <c r="I414" s="10" t="s">
        <v>82</v>
      </c>
      <c r="J414" s="10" t="s">
        <v>82</v>
      </c>
      <c r="K414" s="10" t="s">
        <v>82</v>
      </c>
      <c r="L414" s="10" t="n">
        <v>1234</v>
      </c>
      <c r="M414" s="10" t="s">
        <v>1037</v>
      </c>
      <c r="N414" s="10" t="s">
        <v>1492</v>
      </c>
      <c r="O414" s="10" t="n">
        <v>1173633183</v>
      </c>
      <c r="P414" s="10" t="s">
        <v>1493</v>
      </c>
      <c r="Q414" s="10"/>
      <c r="R414" s="10"/>
      <c r="S414" s="10"/>
      <c r="T414" s="10"/>
      <c r="U414" s="10"/>
      <c r="V414" s="10" t="n">
        <v>1</v>
      </c>
      <c r="W414" s="10" t="n">
        <v>3</v>
      </c>
      <c r="X414" s="10" t="s">
        <v>71</v>
      </c>
      <c r="Y414" s="10" t="s">
        <v>72</v>
      </c>
      <c r="Z414" s="10" t="s">
        <v>221</v>
      </c>
      <c r="AA414" s="13" t="s">
        <v>1494</v>
      </c>
      <c r="AB414" s="13" t="s">
        <v>1469</v>
      </c>
      <c r="AC414" s="10"/>
      <c r="AD414" s="10"/>
      <c r="AE414" s="10"/>
      <c r="AF414" s="10"/>
    </row>
    <row r="415" customFormat="false" ht="15.75" hidden="false" customHeight="false" outlineLevel="0" collapsed="false">
      <c r="A415" s="11" t="n">
        <v>46127.4395892014</v>
      </c>
      <c r="B415" s="10" t="s">
        <v>1495</v>
      </c>
      <c r="C415" s="10" t="s">
        <v>1496</v>
      </c>
      <c r="D415" s="10" t="n">
        <v>50146230</v>
      </c>
      <c r="E415" s="10" t="s">
        <v>60</v>
      </c>
      <c r="F415" s="12" t="n">
        <v>40363</v>
      </c>
      <c r="G415" s="10" t="s">
        <v>1497</v>
      </c>
      <c r="H415" s="10" t="s">
        <v>1498</v>
      </c>
      <c r="I415" s="10" t="s">
        <v>591</v>
      </c>
      <c r="J415" s="10" t="s">
        <v>152</v>
      </c>
      <c r="K415" s="10" t="s">
        <v>1499</v>
      </c>
      <c r="L415" s="10" t="n">
        <v>1429</v>
      </c>
      <c r="M415" s="10" t="s">
        <v>1500</v>
      </c>
      <c r="N415" s="10" t="s">
        <v>1501</v>
      </c>
      <c r="O415" s="10" t="e">
        <f aca="false">#error!</f>
        <v>#NAME?</v>
      </c>
      <c r="P415" s="10" t="s">
        <v>1502</v>
      </c>
      <c r="Q415" s="10" t="s">
        <v>1503</v>
      </c>
      <c r="R415" s="10" t="s">
        <v>1504</v>
      </c>
      <c r="S415" s="10" t="e">
        <f aca="false">#error!</f>
        <v>#NAME?</v>
      </c>
      <c r="T415" s="10" t="s">
        <v>1505</v>
      </c>
      <c r="U415" s="10"/>
      <c r="V415" s="10" t="n">
        <v>3</v>
      </c>
      <c r="W415" s="10" t="n">
        <v>1</v>
      </c>
      <c r="X415" s="10" t="s">
        <v>71</v>
      </c>
      <c r="Y415" s="10" t="s">
        <v>72</v>
      </c>
      <c r="Z415" s="10" t="s">
        <v>119</v>
      </c>
      <c r="AA415" s="13" t="s">
        <v>1506</v>
      </c>
      <c r="AB415" s="13" t="s">
        <v>1469</v>
      </c>
      <c r="AC415" s="10"/>
      <c r="AD415" s="10"/>
      <c r="AE415" s="10"/>
      <c r="AF415" s="10"/>
    </row>
    <row r="416" customFormat="false" ht="15.75" hidden="false" customHeight="false" outlineLevel="0" collapsed="false">
      <c r="A416" s="11" t="n">
        <v>46134.3941855208</v>
      </c>
      <c r="B416" s="10" t="s">
        <v>1507</v>
      </c>
      <c r="C416" s="10" t="s">
        <v>1097</v>
      </c>
      <c r="D416" s="10" t="n">
        <v>49090584</v>
      </c>
      <c r="E416" s="10" t="s">
        <v>215</v>
      </c>
      <c r="F416" s="10" t="s">
        <v>1508</v>
      </c>
      <c r="G416" s="10" t="s">
        <v>1509</v>
      </c>
      <c r="H416" s="10" t="s">
        <v>1510</v>
      </c>
      <c r="I416" s="10" t="s">
        <v>82</v>
      </c>
      <c r="J416" s="10" t="s">
        <v>528</v>
      </c>
      <c r="K416" s="10" t="s">
        <v>953</v>
      </c>
      <c r="L416" s="10" t="n">
        <v>1429</v>
      </c>
      <c r="M416" s="10" t="s">
        <v>1511</v>
      </c>
      <c r="N416" s="10" t="s">
        <v>1512</v>
      </c>
      <c r="O416" s="10" t="n">
        <v>1157395981</v>
      </c>
      <c r="P416" s="10" t="s">
        <v>1513</v>
      </c>
      <c r="Q416" s="10" t="s">
        <v>1514</v>
      </c>
      <c r="R416" s="10" t="s">
        <v>1507</v>
      </c>
      <c r="S416" s="10" t="n">
        <v>1157395965</v>
      </c>
      <c r="T416" s="10" t="s">
        <v>1515</v>
      </c>
      <c r="U416" s="10"/>
      <c r="V416" s="10" t="n">
        <v>5</v>
      </c>
      <c r="W416" s="10" t="n">
        <v>1</v>
      </c>
      <c r="X416" s="10" t="s">
        <v>71</v>
      </c>
      <c r="Y416" s="10" t="s">
        <v>90</v>
      </c>
      <c r="Z416" s="10" t="s">
        <v>431</v>
      </c>
      <c r="AA416" s="13" t="s">
        <v>1516</v>
      </c>
      <c r="AB416" s="13" t="s">
        <v>1469</v>
      </c>
      <c r="AC416" s="10"/>
      <c r="AD416" s="10"/>
      <c r="AE416" s="10"/>
      <c r="AF416" s="10"/>
    </row>
    <row r="417" customFormat="false" ht="15.75" hidden="false" customHeight="false" outlineLevel="0" collapsed="false">
      <c r="A417" s="11" t="n">
        <v>46133.6942081829</v>
      </c>
      <c r="B417" s="10" t="s">
        <v>1517</v>
      </c>
      <c r="C417" s="10" t="s">
        <v>824</v>
      </c>
      <c r="D417" s="10" t="n">
        <v>49318090</v>
      </c>
      <c r="E417" s="10" t="s">
        <v>107</v>
      </c>
      <c r="F417" s="12" t="n">
        <v>39966</v>
      </c>
      <c r="G417" s="10" t="s">
        <v>1518</v>
      </c>
      <c r="H417" s="10" t="s">
        <v>1518</v>
      </c>
      <c r="I417" s="10" t="s">
        <v>82</v>
      </c>
      <c r="J417" s="10" t="s">
        <v>83</v>
      </c>
      <c r="K417" s="10" t="s">
        <v>1519</v>
      </c>
      <c r="L417" s="10" t="s">
        <v>1520</v>
      </c>
      <c r="M417" s="10" t="s">
        <v>1521</v>
      </c>
      <c r="N417" s="10" t="s">
        <v>1522</v>
      </c>
      <c r="O417" s="10" t="s">
        <v>1523</v>
      </c>
      <c r="P417" s="10" t="s">
        <v>1524</v>
      </c>
      <c r="Q417" s="10"/>
      <c r="R417" s="10"/>
      <c r="S417" s="10"/>
      <c r="T417" s="10"/>
      <c r="U417" s="10"/>
      <c r="V417" s="10" t="n">
        <v>5</v>
      </c>
      <c r="W417" s="10" t="n">
        <v>1</v>
      </c>
      <c r="X417" s="10" t="s">
        <v>71</v>
      </c>
      <c r="Y417" s="10" t="s">
        <v>132</v>
      </c>
      <c r="Z417" s="10" t="s">
        <v>708</v>
      </c>
      <c r="AA417" s="13" t="s">
        <v>1525</v>
      </c>
      <c r="AB417" s="13" t="s">
        <v>1469</v>
      </c>
      <c r="AC417" s="10"/>
      <c r="AD417" s="10"/>
      <c r="AE417" s="10"/>
      <c r="AF417" s="10"/>
    </row>
    <row r="418" customFormat="false" ht="15.75" hidden="false" customHeight="false" outlineLevel="0" collapsed="false">
      <c r="A418" s="11" t="n">
        <v>46127.6437273495</v>
      </c>
      <c r="B418" s="10" t="s">
        <v>1526</v>
      </c>
      <c r="C418" s="10" t="s">
        <v>1527</v>
      </c>
      <c r="D418" s="10" t="n">
        <v>50673123</v>
      </c>
      <c r="E418" s="10" t="s">
        <v>107</v>
      </c>
      <c r="F418" s="10" t="s">
        <v>1528</v>
      </c>
      <c r="G418" s="10" t="s">
        <v>1529</v>
      </c>
      <c r="H418" s="10" t="s">
        <v>817</v>
      </c>
      <c r="I418" s="10" t="s">
        <v>1530</v>
      </c>
      <c r="J418" s="10" t="s">
        <v>623</v>
      </c>
      <c r="K418" s="10" t="s">
        <v>1531</v>
      </c>
      <c r="L418" s="10" t="n">
        <v>1603</v>
      </c>
      <c r="M418" s="10" t="s">
        <v>1532</v>
      </c>
      <c r="N418" s="10" t="s">
        <v>1533</v>
      </c>
      <c r="O418" s="10" t="s">
        <v>1534</v>
      </c>
      <c r="P418" s="10" t="s">
        <v>1535</v>
      </c>
      <c r="Q418" s="10"/>
      <c r="R418" s="10"/>
      <c r="S418" s="10"/>
      <c r="T418" s="10"/>
      <c r="U418" s="10" t="s">
        <v>1536</v>
      </c>
      <c r="V418" s="10" t="n">
        <v>3</v>
      </c>
      <c r="W418" s="10" t="n">
        <v>2</v>
      </c>
      <c r="X418" s="10" t="s">
        <v>71</v>
      </c>
      <c r="Y418" s="10" t="s">
        <v>72</v>
      </c>
      <c r="Z418" s="10" t="s">
        <v>133</v>
      </c>
      <c r="AA418" s="13" t="s">
        <v>1537</v>
      </c>
      <c r="AB418" s="13" t="s">
        <v>1469</v>
      </c>
      <c r="AC418" s="10"/>
      <c r="AD418" s="10"/>
      <c r="AE418" s="10"/>
      <c r="AF418" s="10"/>
    </row>
    <row r="419" customFormat="false" ht="15.75" hidden="false" customHeight="false" outlineLevel="0" collapsed="false">
      <c r="A419" s="11" t="n">
        <v>46126.710695706</v>
      </c>
      <c r="B419" s="10" t="s">
        <v>1538</v>
      </c>
      <c r="C419" s="10" t="s">
        <v>1539</v>
      </c>
      <c r="D419" s="10" t="n">
        <v>51507243</v>
      </c>
      <c r="E419" s="10" t="s">
        <v>469</v>
      </c>
      <c r="F419" s="12" t="n">
        <v>40857</v>
      </c>
      <c r="G419" s="10" t="s">
        <v>1540</v>
      </c>
      <c r="H419" s="10" t="s">
        <v>1540</v>
      </c>
      <c r="I419" s="10" t="s">
        <v>82</v>
      </c>
      <c r="J419" s="10" t="s">
        <v>338</v>
      </c>
      <c r="K419" s="10" t="s">
        <v>338</v>
      </c>
      <c r="L419" s="10" t="s">
        <v>338</v>
      </c>
      <c r="M419" s="10" t="s">
        <v>338</v>
      </c>
      <c r="N419" s="10" t="s">
        <v>338</v>
      </c>
      <c r="O419" s="10" t="s">
        <v>338</v>
      </c>
      <c r="P419" s="10" t="s">
        <v>338</v>
      </c>
      <c r="Q419" s="10"/>
      <c r="R419" s="10"/>
      <c r="S419" s="10"/>
      <c r="T419" s="10"/>
      <c r="U419" s="10"/>
      <c r="V419" s="10" t="n">
        <v>2</v>
      </c>
      <c r="W419" s="10" t="n">
        <v>4</v>
      </c>
      <c r="X419" s="10" t="s">
        <v>71</v>
      </c>
      <c r="Y419" s="10" t="s">
        <v>72</v>
      </c>
      <c r="Z419" s="10" t="s">
        <v>341</v>
      </c>
      <c r="AA419" s="13" t="s">
        <v>1541</v>
      </c>
      <c r="AB419" s="13" t="s">
        <v>1469</v>
      </c>
      <c r="AC419" s="10"/>
      <c r="AD419" s="10"/>
      <c r="AE419" s="10"/>
      <c r="AF419" s="10"/>
    </row>
    <row r="420" customFormat="false" ht="15.75" hidden="false" customHeight="false" outlineLevel="0" collapsed="false">
      <c r="A420" s="11" t="n">
        <v>46126.7144212384</v>
      </c>
      <c r="B420" s="10" t="s">
        <v>1542</v>
      </c>
      <c r="C420" s="10" t="s">
        <v>1543</v>
      </c>
      <c r="D420" s="10" t="n">
        <v>52136011</v>
      </c>
      <c r="E420" s="10" t="s">
        <v>469</v>
      </c>
      <c r="F420" s="12" t="n">
        <v>40909</v>
      </c>
      <c r="G420" s="10" t="s">
        <v>1544</v>
      </c>
      <c r="H420" s="10" t="s">
        <v>1544</v>
      </c>
      <c r="I420" s="10" t="s">
        <v>338</v>
      </c>
      <c r="J420" s="10" t="s">
        <v>338</v>
      </c>
      <c r="K420" s="10" t="s">
        <v>338</v>
      </c>
      <c r="L420" s="10" t="s">
        <v>338</v>
      </c>
      <c r="M420" s="10" t="s">
        <v>338</v>
      </c>
      <c r="N420" s="10" t="s">
        <v>338</v>
      </c>
      <c r="O420" s="10" t="s">
        <v>338</v>
      </c>
      <c r="P420" s="10" t="s">
        <v>338</v>
      </c>
      <c r="Q420" s="10"/>
      <c r="R420" s="10"/>
      <c r="S420" s="10"/>
      <c r="T420" s="10"/>
      <c r="U420" s="10"/>
      <c r="V420" s="10" t="n">
        <v>2</v>
      </c>
      <c r="W420" s="10" t="n">
        <v>4</v>
      </c>
      <c r="X420" s="10" t="s">
        <v>71</v>
      </c>
      <c r="Y420" s="10" t="s">
        <v>72</v>
      </c>
      <c r="Z420" s="10" t="s">
        <v>341</v>
      </c>
      <c r="AA420" s="13" t="s">
        <v>1545</v>
      </c>
      <c r="AB420" s="13" t="s">
        <v>1469</v>
      </c>
      <c r="AC420" s="10"/>
      <c r="AD420" s="10"/>
      <c r="AE420" s="10"/>
      <c r="AF420" s="10"/>
    </row>
    <row r="421" customFormat="false" ht="15.75" hidden="false" customHeight="false" outlineLevel="0" collapsed="false">
      <c r="A421" s="11" t="n">
        <v>46113.770764294</v>
      </c>
      <c r="B421" s="10" t="s">
        <v>1546</v>
      </c>
      <c r="C421" s="10" t="s">
        <v>1547</v>
      </c>
      <c r="D421" s="10" t="n">
        <v>52449383</v>
      </c>
      <c r="E421" s="10" t="s">
        <v>469</v>
      </c>
      <c r="F421" s="10" t="s">
        <v>1216</v>
      </c>
      <c r="G421" s="10" t="s">
        <v>1548</v>
      </c>
      <c r="H421" s="10" t="s">
        <v>1549</v>
      </c>
      <c r="I421" s="10" t="s">
        <v>82</v>
      </c>
      <c r="J421" s="10" t="s">
        <v>1550</v>
      </c>
      <c r="K421" s="10" t="s">
        <v>1551</v>
      </c>
      <c r="L421" s="10" t="n">
        <v>1605</v>
      </c>
      <c r="M421" s="10" t="s">
        <v>1552</v>
      </c>
      <c r="N421" s="10" t="s">
        <v>1553</v>
      </c>
      <c r="O421" s="10" t="n">
        <v>1141924671</v>
      </c>
      <c r="P421" s="10" t="s">
        <v>1554</v>
      </c>
      <c r="Q421" s="10" t="s">
        <v>1555</v>
      </c>
      <c r="R421" s="10"/>
      <c r="S421" s="10"/>
      <c r="T421" s="10"/>
      <c r="U421" s="10"/>
      <c r="V421" s="10" t="n">
        <v>2</v>
      </c>
      <c r="W421" s="10" t="n">
        <v>1</v>
      </c>
      <c r="X421" s="10" t="s">
        <v>71</v>
      </c>
      <c r="Y421" s="10" t="s">
        <v>72</v>
      </c>
      <c r="Z421" s="10" t="s">
        <v>794</v>
      </c>
      <c r="AA421" s="13" t="s">
        <v>1556</v>
      </c>
      <c r="AB421" s="13" t="s">
        <v>1469</v>
      </c>
      <c r="AC421" s="10"/>
      <c r="AD421" s="10"/>
      <c r="AE421" s="10"/>
      <c r="AF421" s="10"/>
    </row>
    <row r="422" customFormat="false" ht="15.75" hidden="false" customHeight="false" outlineLevel="0" collapsed="false">
      <c r="A422" s="11" t="n">
        <v>46120.4821888773</v>
      </c>
      <c r="B422" s="10" t="s">
        <v>1557</v>
      </c>
      <c r="C422" s="10" t="s">
        <v>1558</v>
      </c>
      <c r="D422" s="10" t="n">
        <v>51271045</v>
      </c>
      <c r="E422" s="10" t="s">
        <v>60</v>
      </c>
      <c r="F422" s="12" t="n">
        <v>40725</v>
      </c>
      <c r="G422" s="10" t="s">
        <v>1559</v>
      </c>
      <c r="H422" s="10" t="s">
        <v>1559</v>
      </c>
      <c r="I422" s="10" t="s">
        <v>82</v>
      </c>
      <c r="J422" s="10" t="s">
        <v>82</v>
      </c>
      <c r="K422" s="10" t="s">
        <v>396</v>
      </c>
      <c r="L422" s="10" t="s">
        <v>397</v>
      </c>
      <c r="M422" s="10" t="s">
        <v>1348</v>
      </c>
      <c r="N422" s="10" t="s">
        <v>534</v>
      </c>
      <c r="O422" s="10" t="n">
        <v>1167499337</v>
      </c>
      <c r="P422" s="10" t="s">
        <v>534</v>
      </c>
      <c r="Q422" s="10" t="s">
        <v>1560</v>
      </c>
      <c r="R422" s="10" t="s">
        <v>1557</v>
      </c>
      <c r="S422" s="10" t="n">
        <v>1144072718</v>
      </c>
      <c r="T422" s="10" t="s">
        <v>1561</v>
      </c>
      <c r="U422" s="10"/>
      <c r="V422" s="10" t="n">
        <v>2</v>
      </c>
      <c r="W422" s="10" t="n">
        <v>6</v>
      </c>
      <c r="X422" s="10" t="s">
        <v>71</v>
      </c>
      <c r="Y422" s="10" t="s">
        <v>72</v>
      </c>
      <c r="Z422" s="10" t="s">
        <v>404</v>
      </c>
      <c r="AA422" s="13" t="s">
        <v>1562</v>
      </c>
      <c r="AB422" s="13" t="s">
        <v>1469</v>
      </c>
      <c r="AC422" s="10"/>
      <c r="AD422" s="10"/>
      <c r="AE422" s="10"/>
      <c r="AF422" s="10"/>
    </row>
    <row r="423" customFormat="false" ht="15.75" hidden="false" customHeight="false" outlineLevel="0" collapsed="false">
      <c r="A423" s="11" t="n">
        <v>46112.4727838079</v>
      </c>
      <c r="B423" s="10" t="s">
        <v>1563</v>
      </c>
      <c r="C423" s="10" t="s">
        <v>1564</v>
      </c>
      <c r="D423" s="10" t="n">
        <v>52696008</v>
      </c>
      <c r="E423" s="10" t="s">
        <v>107</v>
      </c>
      <c r="F423" s="12" t="n">
        <v>41007</v>
      </c>
      <c r="G423" s="10" t="s">
        <v>1565</v>
      </c>
      <c r="H423" s="10" t="s">
        <v>98</v>
      </c>
      <c r="I423" s="10" t="s">
        <v>82</v>
      </c>
      <c r="J423" s="10" t="s">
        <v>82</v>
      </c>
      <c r="K423" s="10" t="s">
        <v>1566</v>
      </c>
      <c r="L423" s="10" t="n">
        <v>1429</v>
      </c>
      <c r="M423" s="10" t="s">
        <v>316</v>
      </c>
      <c r="N423" s="10" t="s">
        <v>1567</v>
      </c>
      <c r="O423" s="10" t="n">
        <v>1128895811</v>
      </c>
      <c r="P423" s="10" t="s">
        <v>1568</v>
      </c>
      <c r="Q423" s="10"/>
      <c r="R423" s="10"/>
      <c r="S423" s="10" t="n">
        <v>1125841330</v>
      </c>
      <c r="T423" s="10"/>
      <c r="U423" s="10" t="s">
        <v>1569</v>
      </c>
      <c r="V423" s="10" t="n">
        <v>1</v>
      </c>
      <c r="W423" s="10" t="n">
        <v>1</v>
      </c>
      <c r="X423" s="10" t="s">
        <v>71</v>
      </c>
      <c r="Y423" s="10" t="s">
        <v>72</v>
      </c>
      <c r="Z423" s="10" t="s">
        <v>168</v>
      </c>
      <c r="AA423" s="13" t="s">
        <v>1570</v>
      </c>
      <c r="AB423" s="13" t="s">
        <v>1469</v>
      </c>
      <c r="AC423" s="10"/>
      <c r="AD423" s="10"/>
      <c r="AE423" s="10"/>
      <c r="AF423" s="10"/>
    </row>
    <row r="424" customFormat="false" ht="15.75" hidden="false" customHeight="false" outlineLevel="0" collapsed="false">
      <c r="A424" s="11" t="n">
        <v>46132.4675573727</v>
      </c>
      <c r="B424" s="10" t="s">
        <v>1563</v>
      </c>
      <c r="C424" s="10" t="s">
        <v>1571</v>
      </c>
      <c r="D424" s="10" t="n">
        <v>50307511</v>
      </c>
      <c r="E424" s="10" t="s">
        <v>60</v>
      </c>
      <c r="F424" s="10" t="s">
        <v>1572</v>
      </c>
      <c r="G424" s="10" t="s">
        <v>1573</v>
      </c>
      <c r="H424" s="10" t="s">
        <v>1573</v>
      </c>
      <c r="I424" s="10" t="s">
        <v>1574</v>
      </c>
      <c r="J424" s="10" t="s">
        <v>1575</v>
      </c>
      <c r="K424" s="10" t="s">
        <v>1566</v>
      </c>
      <c r="L424" s="10" t="n">
        <v>1430</v>
      </c>
      <c r="M424" s="10" t="s">
        <v>1576</v>
      </c>
      <c r="N424" s="10" t="s">
        <v>1577</v>
      </c>
      <c r="O424" s="10" t="n">
        <v>1128895811</v>
      </c>
      <c r="P424" s="10" t="s">
        <v>1568</v>
      </c>
      <c r="Q424" s="10" t="s">
        <v>206</v>
      </c>
      <c r="R424" s="10" t="s">
        <v>1578</v>
      </c>
      <c r="S424" s="10" t="n">
        <v>1125841330</v>
      </c>
      <c r="T424" s="10" t="s">
        <v>1579</v>
      </c>
      <c r="U424" s="10"/>
      <c r="V424" s="10" t="n">
        <v>4</v>
      </c>
      <c r="W424" s="10" t="n">
        <v>1</v>
      </c>
      <c r="X424" s="10" t="s">
        <v>71</v>
      </c>
      <c r="Y424" s="10" t="s">
        <v>132</v>
      </c>
      <c r="Z424" s="10" t="s">
        <v>133</v>
      </c>
      <c r="AA424" s="13" t="s">
        <v>1580</v>
      </c>
      <c r="AB424" s="13" t="s">
        <v>1469</v>
      </c>
      <c r="AC424" s="10"/>
      <c r="AD424" s="10"/>
      <c r="AE424" s="10"/>
      <c r="AF424" s="10"/>
    </row>
    <row r="425" customFormat="false" ht="15.75" hidden="false" customHeight="false" outlineLevel="0" collapsed="false">
      <c r="A425" s="11" t="n">
        <v>46126.6119434144</v>
      </c>
      <c r="B425" s="10" t="s">
        <v>1581</v>
      </c>
      <c r="C425" s="10" t="s">
        <v>1582</v>
      </c>
      <c r="D425" s="10" t="n">
        <v>96225146</v>
      </c>
      <c r="E425" s="10" t="s">
        <v>1583</v>
      </c>
      <c r="F425" s="12" t="n">
        <v>40912</v>
      </c>
      <c r="G425" s="10" t="s">
        <v>1584</v>
      </c>
      <c r="H425" s="10" t="s">
        <v>1189</v>
      </c>
      <c r="I425" s="10" t="s">
        <v>82</v>
      </c>
      <c r="J425" s="10" t="s">
        <v>82</v>
      </c>
      <c r="K425" s="10" t="s">
        <v>82</v>
      </c>
      <c r="L425" s="10" t="n">
        <v>1430</v>
      </c>
      <c r="M425" s="10" t="s">
        <v>1585</v>
      </c>
      <c r="N425" s="10" t="s">
        <v>1586</v>
      </c>
      <c r="O425" s="10" t="n">
        <v>1156014831</v>
      </c>
      <c r="P425" s="10" t="s">
        <v>1587</v>
      </c>
      <c r="Q425" s="10"/>
      <c r="R425" s="10"/>
      <c r="S425" s="10"/>
      <c r="T425" s="10"/>
      <c r="U425" s="10"/>
      <c r="V425" s="10" t="n">
        <v>1</v>
      </c>
      <c r="W425" s="10" t="n">
        <v>4</v>
      </c>
      <c r="X425" s="10" t="s">
        <v>71</v>
      </c>
      <c r="Y425" s="10" t="s">
        <v>72</v>
      </c>
      <c r="Z425" s="10" t="s">
        <v>454</v>
      </c>
      <c r="AA425" s="13" t="s">
        <v>1588</v>
      </c>
      <c r="AB425" s="13" t="s">
        <v>1469</v>
      </c>
      <c r="AC425" s="10"/>
      <c r="AD425" s="10"/>
      <c r="AE425" s="10"/>
      <c r="AF425" s="10"/>
    </row>
    <row r="426" customFormat="false" ht="15.75" hidden="false" customHeight="false" outlineLevel="0" collapsed="false">
      <c r="A426" s="11" t="n">
        <v>46113.0244654745</v>
      </c>
      <c r="B426" s="10" t="s">
        <v>1589</v>
      </c>
      <c r="C426" s="10" t="s">
        <v>1590</v>
      </c>
      <c r="D426" s="10" t="n">
        <v>52790237</v>
      </c>
      <c r="E426" s="10" t="s">
        <v>107</v>
      </c>
      <c r="F426" s="10" t="s">
        <v>1463</v>
      </c>
      <c r="G426" s="10" t="s">
        <v>1591</v>
      </c>
      <c r="H426" s="10" t="s">
        <v>98</v>
      </c>
      <c r="I426" s="10" t="s">
        <v>1080</v>
      </c>
      <c r="J426" s="10" t="s">
        <v>1592</v>
      </c>
      <c r="K426" s="10" t="s">
        <v>1592</v>
      </c>
      <c r="L426" s="10" t="n">
        <v>1234</v>
      </c>
      <c r="M426" s="10" t="s">
        <v>1593</v>
      </c>
      <c r="N426" s="10" t="s">
        <v>1594</v>
      </c>
      <c r="O426" s="10" t="n">
        <v>1163303324</v>
      </c>
      <c r="P426" s="10" t="s">
        <v>1595</v>
      </c>
      <c r="Q426" s="10"/>
      <c r="R426" s="10"/>
      <c r="S426" s="10"/>
      <c r="T426" s="10"/>
      <c r="U426" s="10"/>
      <c r="V426" s="10" t="n">
        <v>1</v>
      </c>
      <c r="W426" s="10" t="n">
        <v>3</v>
      </c>
      <c r="X426" s="10" t="s">
        <v>71</v>
      </c>
      <c r="Y426" s="10" t="s">
        <v>72</v>
      </c>
      <c r="Z426" s="10" t="s">
        <v>221</v>
      </c>
      <c r="AA426" s="13" t="s">
        <v>1596</v>
      </c>
      <c r="AB426" s="13" t="s">
        <v>1469</v>
      </c>
      <c r="AC426" s="10"/>
      <c r="AD426" s="10"/>
      <c r="AE426" s="10"/>
      <c r="AF426" s="10"/>
    </row>
    <row r="427" customFormat="false" ht="15.75" hidden="false" customHeight="false" outlineLevel="0" collapsed="false">
      <c r="A427" s="11" t="n">
        <v>46147.677757963</v>
      </c>
      <c r="B427" s="10" t="s">
        <v>1597</v>
      </c>
      <c r="C427" s="10" t="s">
        <v>1598</v>
      </c>
      <c r="D427" s="10" t="n">
        <v>52034976</v>
      </c>
      <c r="E427" s="10" t="s">
        <v>338</v>
      </c>
      <c r="F427" s="12" t="n">
        <v>41095</v>
      </c>
      <c r="G427" s="10" t="s">
        <v>1599</v>
      </c>
      <c r="H427" s="10" t="s">
        <v>1286</v>
      </c>
      <c r="I427" s="10" t="s">
        <v>1600</v>
      </c>
      <c r="J427" s="10" t="s">
        <v>1265</v>
      </c>
      <c r="K427" s="10" t="s">
        <v>338</v>
      </c>
      <c r="L427" s="10" t="n">
        <v>1400</v>
      </c>
      <c r="M427" s="10" t="s">
        <v>316</v>
      </c>
      <c r="N427" s="10" t="s">
        <v>1266</v>
      </c>
      <c r="O427" s="10" t="n">
        <v>1150986618</v>
      </c>
      <c r="P427" s="10" t="s">
        <v>1287</v>
      </c>
      <c r="Q427" s="10"/>
      <c r="R427" s="10"/>
      <c r="S427" s="10"/>
      <c r="T427" s="10"/>
      <c r="U427" s="10" t="s">
        <v>338</v>
      </c>
      <c r="V427" s="10" t="n">
        <v>2</v>
      </c>
      <c r="W427" s="10" t="n">
        <v>2</v>
      </c>
      <c r="X427" s="10" t="s">
        <v>71</v>
      </c>
      <c r="Y427" s="10" t="s">
        <v>72</v>
      </c>
      <c r="Z427" s="10" t="s">
        <v>1268</v>
      </c>
      <c r="AA427" s="13" t="s">
        <v>1601</v>
      </c>
      <c r="AB427" s="13" t="s">
        <v>1469</v>
      </c>
      <c r="AC427" s="10"/>
      <c r="AD427" s="10"/>
      <c r="AE427" s="10"/>
      <c r="AF427" s="10"/>
    </row>
    <row r="428" customFormat="false" ht="15.75" hidden="false" customHeight="false" outlineLevel="0" collapsed="false">
      <c r="A428" s="11" t="n">
        <v>46127.4502070255</v>
      </c>
      <c r="B428" s="10" t="s">
        <v>1602</v>
      </c>
      <c r="C428" s="10" t="s">
        <v>1603</v>
      </c>
      <c r="D428" s="10" t="n">
        <v>50801420</v>
      </c>
      <c r="E428" s="10" t="s">
        <v>215</v>
      </c>
      <c r="F428" s="10" t="s">
        <v>1604</v>
      </c>
      <c r="G428" s="10" t="s">
        <v>1605</v>
      </c>
      <c r="H428" s="10" t="s">
        <v>1606</v>
      </c>
      <c r="I428" s="10" t="s">
        <v>82</v>
      </c>
      <c r="J428" s="10" t="s">
        <v>1607</v>
      </c>
      <c r="K428" s="10" t="s">
        <v>1608</v>
      </c>
      <c r="L428" s="10" t="s">
        <v>1609</v>
      </c>
      <c r="M428" s="10" t="s">
        <v>1610</v>
      </c>
      <c r="N428" s="10" t="s">
        <v>1611</v>
      </c>
      <c r="O428" s="10" t="e">
        <f aca="false">#error!</f>
        <v>#NAME?</v>
      </c>
      <c r="P428" s="10" t="s">
        <v>1612</v>
      </c>
      <c r="Q428" s="10"/>
      <c r="R428" s="10"/>
      <c r="S428" s="10"/>
      <c r="T428" s="10"/>
      <c r="U428" s="10"/>
      <c r="V428" s="10" t="n">
        <v>3</v>
      </c>
      <c r="W428" s="10" t="n">
        <v>3</v>
      </c>
      <c r="X428" s="10" t="s">
        <v>71</v>
      </c>
      <c r="Y428" s="10" t="s">
        <v>72</v>
      </c>
      <c r="Z428" s="10" t="s">
        <v>1151</v>
      </c>
      <c r="AA428" s="13" t="s">
        <v>1613</v>
      </c>
      <c r="AB428" s="13" t="s">
        <v>1469</v>
      </c>
      <c r="AC428" s="10"/>
      <c r="AD428" s="10"/>
      <c r="AE428" s="10"/>
      <c r="AF428" s="10"/>
    </row>
    <row r="429" customFormat="false" ht="15.75" hidden="false" customHeight="false" outlineLevel="0" collapsed="false">
      <c r="A429" s="11" t="n">
        <v>46113.4862870833</v>
      </c>
      <c r="B429" s="10" t="s">
        <v>1614</v>
      </c>
      <c r="C429" s="10" t="s">
        <v>1615</v>
      </c>
      <c r="D429" s="10" t="n">
        <v>52448726</v>
      </c>
      <c r="E429" s="10" t="s">
        <v>215</v>
      </c>
      <c r="F429" s="10" t="s">
        <v>253</v>
      </c>
      <c r="G429" s="10" t="s">
        <v>1616</v>
      </c>
      <c r="H429" s="10" t="s">
        <v>1617</v>
      </c>
      <c r="I429" s="10" t="s">
        <v>82</v>
      </c>
      <c r="J429" s="10" t="s">
        <v>82</v>
      </c>
      <c r="K429" s="10" t="s">
        <v>1618</v>
      </c>
      <c r="L429" s="10" t="n">
        <v>1428</v>
      </c>
      <c r="M429" s="10" t="s">
        <v>1619</v>
      </c>
      <c r="N429" s="10" t="s">
        <v>1620</v>
      </c>
      <c r="O429" s="10" t="s">
        <v>323</v>
      </c>
      <c r="P429" s="10" t="s">
        <v>323</v>
      </c>
      <c r="Q429" s="10"/>
      <c r="R429" s="10"/>
      <c r="S429" s="10"/>
      <c r="T429" s="10"/>
      <c r="U429" s="10"/>
      <c r="V429" s="10" t="n">
        <v>2</v>
      </c>
      <c r="W429" s="10" t="n">
        <v>1</v>
      </c>
      <c r="X429" s="10" t="s">
        <v>71</v>
      </c>
      <c r="Y429" s="10" t="s">
        <v>72</v>
      </c>
      <c r="Z429" s="10" t="s">
        <v>794</v>
      </c>
      <c r="AA429" s="13" t="s">
        <v>1621</v>
      </c>
      <c r="AB429" s="13" t="s">
        <v>1469</v>
      </c>
      <c r="AC429" s="10"/>
      <c r="AD429" s="10"/>
      <c r="AE429" s="10"/>
      <c r="AF429" s="10"/>
    </row>
    <row r="430" customFormat="false" ht="15.75" hidden="false" customHeight="false" outlineLevel="0" collapsed="false">
      <c r="A430" s="11" t="n">
        <v>46126.6261918171</v>
      </c>
      <c r="B430" s="10" t="s">
        <v>1622</v>
      </c>
      <c r="C430" s="10" t="s">
        <v>1623</v>
      </c>
      <c r="D430" s="10" t="n">
        <v>52572779</v>
      </c>
      <c r="E430" s="10" t="s">
        <v>215</v>
      </c>
      <c r="F430" s="10" t="s">
        <v>1624</v>
      </c>
      <c r="G430" s="10" t="s">
        <v>1625</v>
      </c>
      <c r="H430" s="10" t="s">
        <v>1189</v>
      </c>
      <c r="I430" s="10" t="s">
        <v>449</v>
      </c>
      <c r="J430" s="10" t="s">
        <v>243</v>
      </c>
      <c r="K430" s="10" t="s">
        <v>243</v>
      </c>
      <c r="L430" s="10" t="n">
        <v>1430</v>
      </c>
      <c r="M430" s="10" t="s">
        <v>1626</v>
      </c>
      <c r="N430" s="10" t="s">
        <v>1627</v>
      </c>
      <c r="O430" s="10" t="n">
        <v>1171987578</v>
      </c>
      <c r="P430" s="10" t="s">
        <v>1628</v>
      </c>
      <c r="Q430" s="10"/>
      <c r="R430" s="10"/>
      <c r="S430" s="10"/>
      <c r="T430" s="10"/>
      <c r="U430" s="10"/>
      <c r="V430" s="10" t="n">
        <v>1</v>
      </c>
      <c r="W430" s="10" t="n">
        <v>4</v>
      </c>
      <c r="X430" s="10" t="s">
        <v>71</v>
      </c>
      <c r="Y430" s="10" t="s">
        <v>72</v>
      </c>
      <c r="Z430" s="10" t="s">
        <v>454</v>
      </c>
      <c r="AA430" s="13" t="s">
        <v>1629</v>
      </c>
      <c r="AB430" s="13" t="s">
        <v>1469</v>
      </c>
      <c r="AC430" s="10"/>
      <c r="AD430" s="10"/>
      <c r="AE430" s="10"/>
      <c r="AF430" s="10"/>
    </row>
    <row r="431" customFormat="false" ht="15.75" hidden="false" customHeight="false" outlineLevel="0" collapsed="false">
      <c r="A431" s="11" t="n">
        <v>46128.4588635648</v>
      </c>
      <c r="B431" s="10" t="s">
        <v>1630</v>
      </c>
      <c r="C431" s="10" t="s">
        <v>824</v>
      </c>
      <c r="D431" s="10" t="n">
        <v>50869104</v>
      </c>
      <c r="E431" s="10" t="s">
        <v>107</v>
      </c>
      <c r="F431" s="10" t="s">
        <v>1631</v>
      </c>
      <c r="G431" s="10" t="s">
        <v>1632</v>
      </c>
      <c r="H431" s="10" t="s">
        <v>1633</v>
      </c>
      <c r="I431" s="10" t="s">
        <v>347</v>
      </c>
      <c r="J431" s="10" t="s">
        <v>348</v>
      </c>
      <c r="K431" s="10" t="s">
        <v>1634</v>
      </c>
      <c r="L431" s="10" t="n">
        <v>1602</v>
      </c>
      <c r="M431" s="10" t="s">
        <v>1635</v>
      </c>
      <c r="N431" s="10" t="s">
        <v>1636</v>
      </c>
      <c r="O431" s="10" t="s">
        <v>1637</v>
      </c>
      <c r="P431" s="10" t="s">
        <v>1638</v>
      </c>
      <c r="Q431" s="10"/>
      <c r="R431" s="10"/>
      <c r="S431" s="10"/>
      <c r="T431" s="10"/>
      <c r="U431" s="10" t="s">
        <v>1119</v>
      </c>
      <c r="V431" s="10" t="n">
        <v>3</v>
      </c>
      <c r="W431" s="10" t="n">
        <v>3</v>
      </c>
      <c r="X431" s="10" t="s">
        <v>71</v>
      </c>
      <c r="Y431" s="10" t="s">
        <v>72</v>
      </c>
      <c r="Z431" s="10" t="s">
        <v>308</v>
      </c>
      <c r="AA431" s="13" t="s">
        <v>1639</v>
      </c>
      <c r="AB431" s="13" t="s">
        <v>1469</v>
      </c>
      <c r="AC431" s="10"/>
      <c r="AD431" s="10"/>
      <c r="AE431" s="10"/>
      <c r="AF431" s="10"/>
    </row>
    <row r="432" customFormat="false" ht="15.75" hidden="false" customHeight="false" outlineLevel="0" collapsed="false">
      <c r="A432" s="11" t="n">
        <v>46136.3775637963</v>
      </c>
      <c r="B432" s="10" t="s">
        <v>1640</v>
      </c>
      <c r="C432" s="10" t="s">
        <v>1641</v>
      </c>
      <c r="D432" s="10" t="n">
        <v>48695175</v>
      </c>
      <c r="E432" s="10" t="s">
        <v>60</v>
      </c>
      <c r="F432" s="10" t="s">
        <v>588</v>
      </c>
      <c r="G432" s="10" t="s">
        <v>1642</v>
      </c>
      <c r="H432" s="10" t="s">
        <v>1642</v>
      </c>
      <c r="I432" s="10" t="s">
        <v>82</v>
      </c>
      <c r="J432" s="10" t="s">
        <v>1643</v>
      </c>
      <c r="K432" s="10" t="s">
        <v>1644</v>
      </c>
      <c r="L432" s="10" t="n">
        <v>1429</v>
      </c>
      <c r="M432" s="10" t="s">
        <v>1645</v>
      </c>
      <c r="N432" s="10" t="s">
        <v>1646</v>
      </c>
      <c r="O432" s="10" t="n">
        <v>1151570461</v>
      </c>
      <c r="P432" s="10" t="s">
        <v>1647</v>
      </c>
      <c r="Q432" s="10"/>
      <c r="R432" s="10"/>
      <c r="S432" s="10"/>
      <c r="T432" s="10"/>
      <c r="U432" s="10"/>
      <c r="V432" s="10" t="n">
        <v>6</v>
      </c>
      <c r="W432" s="10" t="n">
        <v>1</v>
      </c>
      <c r="X432" s="10" t="s">
        <v>71</v>
      </c>
      <c r="Y432" s="10" t="s">
        <v>90</v>
      </c>
      <c r="Z432" s="10" t="s">
        <v>1648</v>
      </c>
      <c r="AA432" s="13" t="s">
        <v>1649</v>
      </c>
      <c r="AB432" s="13" t="s">
        <v>1469</v>
      </c>
      <c r="AC432" s="10"/>
      <c r="AD432" s="10"/>
      <c r="AE432" s="10"/>
      <c r="AF432" s="10"/>
    </row>
    <row r="433" customFormat="false" ht="15.75" hidden="false" customHeight="false" outlineLevel="0" collapsed="false">
      <c r="A433" s="11" t="n">
        <v>46126.7177620602</v>
      </c>
      <c r="B433" s="10" t="s">
        <v>1650</v>
      </c>
      <c r="C433" s="10" t="s">
        <v>88</v>
      </c>
      <c r="D433" s="10" t="n">
        <v>52449429</v>
      </c>
      <c r="E433" s="10" t="s">
        <v>469</v>
      </c>
      <c r="F433" s="10" t="s">
        <v>1651</v>
      </c>
      <c r="G433" s="10" t="s">
        <v>1652</v>
      </c>
      <c r="H433" s="10" t="s">
        <v>1652</v>
      </c>
      <c r="I433" s="10" t="s">
        <v>338</v>
      </c>
      <c r="J433" s="10" t="s">
        <v>338</v>
      </c>
      <c r="K433" s="10" t="s">
        <v>338</v>
      </c>
      <c r="L433" s="10" t="s">
        <v>338</v>
      </c>
      <c r="M433" s="10" t="s">
        <v>338</v>
      </c>
      <c r="N433" s="10" t="s">
        <v>338</v>
      </c>
      <c r="O433" s="10" t="s">
        <v>338</v>
      </c>
      <c r="P433" s="10" t="s">
        <v>338</v>
      </c>
      <c r="Q433" s="10"/>
      <c r="R433" s="10"/>
      <c r="S433" s="10"/>
      <c r="T433" s="10"/>
      <c r="U433" s="10"/>
      <c r="V433" s="10" t="n">
        <v>2</v>
      </c>
      <c r="W433" s="10" t="n">
        <v>4</v>
      </c>
      <c r="X433" s="10" t="s">
        <v>71</v>
      </c>
      <c r="Y433" s="10" t="s">
        <v>72</v>
      </c>
      <c r="Z433" s="10" t="s">
        <v>341</v>
      </c>
      <c r="AA433" s="13" t="s">
        <v>1653</v>
      </c>
      <c r="AB433" s="13" t="s">
        <v>1469</v>
      </c>
      <c r="AC433" s="10"/>
      <c r="AD433" s="10"/>
      <c r="AE433" s="10"/>
      <c r="AF433" s="10"/>
    </row>
    <row r="434" customFormat="false" ht="15.75" hidden="false" customHeight="false" outlineLevel="0" collapsed="false">
      <c r="A434" s="11" t="n">
        <v>46127.6466220023</v>
      </c>
      <c r="B434" s="10" t="s">
        <v>1654</v>
      </c>
      <c r="C434" s="10" t="s">
        <v>1655</v>
      </c>
      <c r="D434" s="10" t="n">
        <v>50512912</v>
      </c>
      <c r="E434" s="10" t="s">
        <v>107</v>
      </c>
      <c r="F434" s="10" t="s">
        <v>1656</v>
      </c>
      <c r="G434" s="10" t="s">
        <v>1657</v>
      </c>
      <c r="H434" s="10" t="s">
        <v>131</v>
      </c>
      <c r="I434" s="10" t="s">
        <v>82</v>
      </c>
      <c r="J434" s="10" t="s">
        <v>152</v>
      </c>
      <c r="K434" s="10" t="s">
        <v>1658</v>
      </c>
      <c r="L434" s="10" t="n">
        <v>1429</v>
      </c>
      <c r="M434" s="10" t="s">
        <v>1659</v>
      </c>
      <c r="N434" s="10" t="s">
        <v>1654</v>
      </c>
      <c r="O434" s="10" t="e">
        <f aca="false">#error!</f>
        <v>#NAME?</v>
      </c>
      <c r="P434" s="10" t="s">
        <v>1660</v>
      </c>
      <c r="Q434" s="10" t="s">
        <v>350</v>
      </c>
      <c r="R434" s="10" t="s">
        <v>1654</v>
      </c>
      <c r="S434" s="10" t="e">
        <f aca="false">#error!</f>
        <v>#NAME?</v>
      </c>
      <c r="T434" s="10" t="s">
        <v>131</v>
      </c>
      <c r="U434" s="10"/>
      <c r="V434" s="10" t="n">
        <v>3</v>
      </c>
      <c r="W434" s="10" t="n">
        <v>2</v>
      </c>
      <c r="X434" s="10" t="s">
        <v>71</v>
      </c>
      <c r="Y434" s="10" t="s">
        <v>72</v>
      </c>
      <c r="Z434" s="10" t="s">
        <v>168</v>
      </c>
      <c r="AA434" s="13" t="s">
        <v>1661</v>
      </c>
      <c r="AB434" s="13" t="s">
        <v>1469</v>
      </c>
      <c r="AC434" s="10"/>
      <c r="AD434" s="10"/>
      <c r="AE434" s="10"/>
      <c r="AF434" s="10"/>
    </row>
    <row r="435" customFormat="false" ht="15.75" hidden="false" customHeight="false" outlineLevel="0" collapsed="false">
      <c r="A435" s="11" t="n">
        <v>46113.6053886458</v>
      </c>
      <c r="B435" s="10" t="s">
        <v>1654</v>
      </c>
      <c r="C435" s="10" t="s">
        <v>1662</v>
      </c>
      <c r="D435" s="10" t="n">
        <v>53243458</v>
      </c>
      <c r="E435" s="10" t="s">
        <v>95</v>
      </c>
      <c r="F435" s="10" t="s">
        <v>1663</v>
      </c>
      <c r="G435" s="10" t="s">
        <v>1664</v>
      </c>
      <c r="H435" s="10" t="s">
        <v>963</v>
      </c>
      <c r="I435" s="10" t="s">
        <v>82</v>
      </c>
      <c r="J435" s="10" t="s">
        <v>1665</v>
      </c>
      <c r="K435" s="10" t="s">
        <v>1666</v>
      </c>
      <c r="L435" s="10" t="n">
        <v>1430</v>
      </c>
      <c r="M435" s="10" t="s">
        <v>1667</v>
      </c>
      <c r="N435" s="10" t="s">
        <v>1668</v>
      </c>
      <c r="O435" s="10" t="n">
        <v>1132712864</v>
      </c>
      <c r="P435" s="10" t="s">
        <v>1669</v>
      </c>
      <c r="Q435" s="10"/>
      <c r="R435" s="10"/>
      <c r="S435" s="10" t="s">
        <v>1670</v>
      </c>
      <c r="T435" s="10"/>
      <c r="U435" s="10" t="s">
        <v>229</v>
      </c>
      <c r="V435" s="10" t="n">
        <v>1</v>
      </c>
      <c r="W435" s="10" t="n">
        <v>2</v>
      </c>
      <c r="X435" s="10" t="s">
        <v>71</v>
      </c>
      <c r="Y435" s="10" t="s">
        <v>72</v>
      </c>
      <c r="Z435" s="10" t="s">
        <v>73</v>
      </c>
      <c r="AA435" s="13" t="s">
        <v>1671</v>
      </c>
      <c r="AB435" s="13" t="s">
        <v>1469</v>
      </c>
      <c r="AC435" s="10"/>
      <c r="AD435" s="10"/>
      <c r="AE435" s="10"/>
      <c r="AF435" s="10"/>
    </row>
    <row r="436" customFormat="false" ht="15.75" hidden="false" customHeight="false" outlineLevel="0" collapsed="false">
      <c r="A436" s="11" t="n">
        <v>46126.6180825</v>
      </c>
      <c r="B436" s="10" t="s">
        <v>1672</v>
      </c>
      <c r="C436" s="10" t="s">
        <v>1673</v>
      </c>
      <c r="D436" s="10" t="n">
        <v>52997676</v>
      </c>
      <c r="E436" s="10" t="s">
        <v>215</v>
      </c>
      <c r="F436" s="12" t="n">
        <v>41520</v>
      </c>
      <c r="G436" s="10" t="s">
        <v>1674</v>
      </c>
      <c r="H436" s="10" t="s">
        <v>1189</v>
      </c>
      <c r="I436" s="10" t="s">
        <v>449</v>
      </c>
      <c r="J436" s="10" t="s">
        <v>1326</v>
      </c>
      <c r="K436" s="10" t="s">
        <v>1675</v>
      </c>
      <c r="L436" s="10" t="n">
        <v>1430</v>
      </c>
      <c r="M436" s="10" t="s">
        <v>1676</v>
      </c>
      <c r="N436" s="10" t="s">
        <v>1677</v>
      </c>
      <c r="O436" s="10" t="n">
        <v>1554673333</v>
      </c>
      <c r="P436" s="10" t="s">
        <v>1678</v>
      </c>
      <c r="Q436" s="10"/>
      <c r="R436" s="10"/>
      <c r="S436" s="10"/>
      <c r="T436" s="10"/>
      <c r="U436" s="10"/>
      <c r="V436" s="10" t="n">
        <v>1</v>
      </c>
      <c r="W436" s="10" t="n">
        <v>4</v>
      </c>
      <c r="X436" s="10" t="s">
        <v>71</v>
      </c>
      <c r="Y436" s="10" t="s">
        <v>72</v>
      </c>
      <c r="Z436" s="10" t="s">
        <v>454</v>
      </c>
      <c r="AA436" s="13" t="s">
        <v>1679</v>
      </c>
      <c r="AB436" s="13" t="s">
        <v>1680</v>
      </c>
      <c r="AC436" s="10"/>
      <c r="AD436" s="10"/>
      <c r="AE436" s="10"/>
      <c r="AF436" s="10"/>
    </row>
    <row r="437" customFormat="false" ht="15.75" hidden="false" customHeight="false" outlineLevel="0" collapsed="false">
      <c r="A437" s="11" t="n">
        <v>46134.3824609375</v>
      </c>
      <c r="B437" s="10" t="s">
        <v>1681</v>
      </c>
      <c r="C437" s="10" t="s">
        <v>1682</v>
      </c>
      <c r="D437" s="10" t="n">
        <v>48992285</v>
      </c>
      <c r="E437" s="10" t="s">
        <v>215</v>
      </c>
      <c r="F437" s="10" t="s">
        <v>1683</v>
      </c>
      <c r="G437" s="10" t="s">
        <v>1684</v>
      </c>
      <c r="H437" s="10" t="s">
        <v>1685</v>
      </c>
      <c r="I437" s="10" t="s">
        <v>82</v>
      </c>
      <c r="J437" s="10" t="s">
        <v>152</v>
      </c>
      <c r="K437" s="10" t="s">
        <v>1686</v>
      </c>
      <c r="L437" s="10" t="n">
        <v>1430</v>
      </c>
      <c r="M437" s="10" t="s">
        <v>1117</v>
      </c>
      <c r="N437" s="10" t="s">
        <v>1687</v>
      </c>
      <c r="O437" s="10" t="n">
        <v>1150128845</v>
      </c>
      <c r="P437" s="10" t="s">
        <v>1688</v>
      </c>
      <c r="Q437" s="10" t="s">
        <v>292</v>
      </c>
      <c r="R437" s="10" t="s">
        <v>1681</v>
      </c>
      <c r="S437" s="10" t="n">
        <v>1150128848</v>
      </c>
      <c r="T437" s="10" t="s">
        <v>1689</v>
      </c>
      <c r="U437" s="10"/>
      <c r="V437" s="10" t="n">
        <v>5</v>
      </c>
      <c r="W437" s="10" t="n">
        <v>1</v>
      </c>
      <c r="X437" s="10" t="s">
        <v>71</v>
      </c>
      <c r="Y437" s="10" t="s">
        <v>90</v>
      </c>
      <c r="Z437" s="10" t="s">
        <v>91</v>
      </c>
      <c r="AA437" s="13" t="s">
        <v>1690</v>
      </c>
      <c r="AB437" s="13" t="s">
        <v>1680</v>
      </c>
      <c r="AC437" s="10"/>
      <c r="AD437" s="10"/>
      <c r="AE437" s="10"/>
      <c r="AF437" s="10"/>
    </row>
    <row r="438" customFormat="false" ht="15.75" hidden="false" customHeight="false" outlineLevel="0" collapsed="false">
      <c r="A438" s="11" t="n">
        <v>46120.4857660301</v>
      </c>
      <c r="B438" s="10" t="s">
        <v>1691</v>
      </c>
      <c r="C438" s="10" t="s">
        <v>1692</v>
      </c>
      <c r="D438" s="10" t="n">
        <v>52142550</v>
      </c>
      <c r="E438" s="10" t="s">
        <v>60</v>
      </c>
      <c r="F438" s="12" t="n">
        <v>41000</v>
      </c>
      <c r="G438" s="10" t="s">
        <v>1693</v>
      </c>
      <c r="H438" s="10" t="s">
        <v>1693</v>
      </c>
      <c r="I438" s="10" t="s">
        <v>82</v>
      </c>
      <c r="J438" s="10" t="s">
        <v>82</v>
      </c>
      <c r="K438" s="10" t="s">
        <v>396</v>
      </c>
      <c r="L438" s="10" t="s">
        <v>397</v>
      </c>
      <c r="M438" s="10" t="s">
        <v>1694</v>
      </c>
      <c r="N438" s="10" t="s">
        <v>1695</v>
      </c>
      <c r="O438" s="10" t="n">
        <v>1132997146</v>
      </c>
      <c r="P438" s="10" t="s">
        <v>1696</v>
      </c>
      <c r="Q438" s="10" t="s">
        <v>1348</v>
      </c>
      <c r="R438" s="10" t="s">
        <v>1697</v>
      </c>
      <c r="S438" s="10" t="n">
        <v>1150085099</v>
      </c>
      <c r="T438" s="10" t="s">
        <v>397</v>
      </c>
      <c r="U438" s="10"/>
      <c r="V438" s="10" t="n">
        <v>2</v>
      </c>
      <c r="W438" s="10" t="n">
        <v>6</v>
      </c>
      <c r="X438" s="10" t="s">
        <v>71</v>
      </c>
      <c r="Y438" s="10" t="s">
        <v>72</v>
      </c>
      <c r="Z438" s="10" t="s">
        <v>404</v>
      </c>
      <c r="AA438" s="13" t="s">
        <v>1698</v>
      </c>
      <c r="AB438" s="13" t="s">
        <v>1680</v>
      </c>
      <c r="AC438" s="10"/>
      <c r="AD438" s="10"/>
      <c r="AE438" s="10"/>
      <c r="AF438" s="10"/>
    </row>
    <row r="439" customFormat="false" ht="15.75" hidden="false" customHeight="false" outlineLevel="0" collapsed="false">
      <c r="A439" s="11" t="n">
        <v>46113.8696402546</v>
      </c>
      <c r="B439" s="10" t="s">
        <v>1699</v>
      </c>
      <c r="C439" s="10" t="s">
        <v>1700</v>
      </c>
      <c r="D439" s="10" t="n">
        <v>51400237</v>
      </c>
      <c r="E439" s="10" t="s">
        <v>95</v>
      </c>
      <c r="F439" s="12" t="n">
        <v>40857</v>
      </c>
      <c r="G439" s="10" t="s">
        <v>1701</v>
      </c>
      <c r="H439" s="10" t="s">
        <v>1702</v>
      </c>
      <c r="I439" s="10" t="s">
        <v>1703</v>
      </c>
      <c r="J439" s="10" t="s">
        <v>1704</v>
      </c>
      <c r="K439" s="10" t="s">
        <v>1705</v>
      </c>
      <c r="L439" s="10" t="n">
        <v>1636</v>
      </c>
      <c r="M439" s="10" t="s">
        <v>1706</v>
      </c>
      <c r="N439" s="10" t="s">
        <v>1707</v>
      </c>
      <c r="O439" s="10" t="n">
        <v>1131403774</v>
      </c>
      <c r="P439" s="10" t="s">
        <v>1708</v>
      </c>
      <c r="Q439" s="10" t="s">
        <v>1709</v>
      </c>
      <c r="R439" s="10" t="s">
        <v>1699</v>
      </c>
      <c r="S439" s="10" t="n">
        <v>1155619683</v>
      </c>
      <c r="T439" s="10" t="s">
        <v>1710</v>
      </c>
      <c r="U439" s="10"/>
      <c r="V439" s="10" t="n">
        <v>2</v>
      </c>
      <c r="W439" s="10" t="n">
        <v>3</v>
      </c>
      <c r="X439" s="10" t="s">
        <v>71</v>
      </c>
      <c r="Y439" s="10" t="s">
        <v>72</v>
      </c>
      <c r="Z439" s="10" t="s">
        <v>1711</v>
      </c>
      <c r="AA439" s="13" t="s">
        <v>1712</v>
      </c>
      <c r="AB439" s="13" t="s">
        <v>1680</v>
      </c>
      <c r="AC439" s="10"/>
      <c r="AD439" s="10"/>
      <c r="AE439" s="10"/>
      <c r="AF439" s="10"/>
    </row>
    <row r="440" customFormat="false" ht="15.75" hidden="false" customHeight="false" outlineLevel="0" collapsed="false">
      <c r="A440" s="11" t="n">
        <v>46117.6747420602</v>
      </c>
      <c r="B440" s="10" t="s">
        <v>1713</v>
      </c>
      <c r="C440" s="10" t="s">
        <v>1714</v>
      </c>
      <c r="D440" s="10" t="n">
        <v>52856792</v>
      </c>
      <c r="E440" s="10" t="s">
        <v>95</v>
      </c>
      <c r="F440" s="10" t="s">
        <v>1715</v>
      </c>
      <c r="G440" s="10" t="s">
        <v>1716</v>
      </c>
      <c r="H440" s="10" t="s">
        <v>1716</v>
      </c>
      <c r="I440" s="10" t="s">
        <v>82</v>
      </c>
      <c r="J440" s="10" t="s">
        <v>323</v>
      </c>
      <c r="K440" s="10" t="s">
        <v>1717</v>
      </c>
      <c r="L440" s="10" t="n">
        <v>1430</v>
      </c>
      <c r="M440" s="10" t="s">
        <v>1718</v>
      </c>
      <c r="N440" s="10" t="s">
        <v>1719</v>
      </c>
      <c r="O440" s="10" t="n">
        <v>1165004970</v>
      </c>
      <c r="P440" s="10" t="s">
        <v>1720</v>
      </c>
      <c r="Q440" s="10" t="s">
        <v>1721</v>
      </c>
      <c r="R440" s="10" t="s">
        <v>1722</v>
      </c>
      <c r="S440" s="10" t="n">
        <v>1155137940</v>
      </c>
      <c r="T440" s="10"/>
      <c r="U440" s="10" t="s">
        <v>229</v>
      </c>
      <c r="V440" s="10" t="n">
        <v>1</v>
      </c>
      <c r="W440" s="10" t="n">
        <v>5</v>
      </c>
      <c r="X440" s="10" t="s">
        <v>71</v>
      </c>
      <c r="Y440" s="10" t="s">
        <v>72</v>
      </c>
      <c r="Z440" s="10" t="s">
        <v>708</v>
      </c>
      <c r="AA440" s="13" t="s">
        <v>1723</v>
      </c>
      <c r="AB440" s="13" t="s">
        <v>1680</v>
      </c>
      <c r="AC440" s="10"/>
      <c r="AD440" s="10"/>
      <c r="AE440" s="10"/>
      <c r="AF440" s="10"/>
    </row>
    <row r="441" customFormat="false" ht="15.75" hidden="false" customHeight="false" outlineLevel="0" collapsed="false">
      <c r="A441" s="11" t="n">
        <v>46127.6935783912</v>
      </c>
      <c r="B441" s="10" t="s">
        <v>1724</v>
      </c>
      <c r="C441" s="10" t="s">
        <v>1394</v>
      </c>
      <c r="D441" s="10" t="n">
        <v>50655371</v>
      </c>
      <c r="E441" s="10" t="s">
        <v>107</v>
      </c>
      <c r="F441" s="12" t="n">
        <v>40400</v>
      </c>
      <c r="G441" s="10" t="s">
        <v>1725</v>
      </c>
      <c r="H441" s="10" t="s">
        <v>131</v>
      </c>
      <c r="I441" s="10" t="s">
        <v>82</v>
      </c>
      <c r="J441" s="10" t="s">
        <v>297</v>
      </c>
      <c r="K441" s="10" t="s">
        <v>1726</v>
      </c>
      <c r="L441" s="10" t="n">
        <v>1430</v>
      </c>
      <c r="M441" s="10" t="s">
        <v>1727</v>
      </c>
      <c r="N441" s="10" t="s">
        <v>1728</v>
      </c>
      <c r="O441" s="10" t="e">
        <f aca="false">#error!</f>
        <v>#NAME?</v>
      </c>
      <c r="P441" s="10" t="s">
        <v>131</v>
      </c>
      <c r="Q441" s="10"/>
      <c r="R441" s="10"/>
      <c r="S441" s="10"/>
      <c r="T441" s="10"/>
      <c r="U441" s="10"/>
      <c r="V441" s="10" t="n">
        <v>3</v>
      </c>
      <c r="W441" s="10" t="n">
        <v>5</v>
      </c>
      <c r="X441" s="10" t="s">
        <v>71</v>
      </c>
      <c r="Y441" s="10" t="s">
        <v>72</v>
      </c>
      <c r="Z441" s="10" t="s">
        <v>308</v>
      </c>
      <c r="AA441" s="13" t="s">
        <v>1729</v>
      </c>
      <c r="AB441" s="13" t="s">
        <v>1680</v>
      </c>
      <c r="AC441" s="10"/>
      <c r="AD441" s="10"/>
      <c r="AE441" s="10"/>
      <c r="AF441" s="10"/>
    </row>
    <row r="442" customFormat="false" ht="15.75" hidden="false" customHeight="false" outlineLevel="0" collapsed="false">
      <c r="A442" s="11" t="n">
        <v>46147.6840762847</v>
      </c>
      <c r="B442" s="10" t="s">
        <v>1328</v>
      </c>
      <c r="C442" s="10" t="s">
        <v>170</v>
      </c>
      <c r="D442" s="10" t="n">
        <v>51343847</v>
      </c>
      <c r="E442" s="10" t="s">
        <v>338</v>
      </c>
      <c r="F442" s="12" t="n">
        <v>40668</v>
      </c>
      <c r="G442" s="10" t="s">
        <v>1730</v>
      </c>
      <c r="H442" s="10" t="s">
        <v>1286</v>
      </c>
      <c r="I442" s="10" t="s">
        <v>82</v>
      </c>
      <c r="J442" s="10" t="s">
        <v>338</v>
      </c>
      <c r="K442" s="10" t="s">
        <v>338</v>
      </c>
      <c r="L442" s="10" t="n">
        <v>1400</v>
      </c>
      <c r="M442" s="10" t="s">
        <v>316</v>
      </c>
      <c r="N442" s="10" t="s">
        <v>1266</v>
      </c>
      <c r="O442" s="10" t="n">
        <v>1150986618</v>
      </c>
      <c r="P442" s="10" t="s">
        <v>1287</v>
      </c>
      <c r="Q442" s="10"/>
      <c r="R442" s="10"/>
      <c r="S442" s="10"/>
      <c r="T442" s="10"/>
      <c r="U442" s="10" t="s">
        <v>338</v>
      </c>
      <c r="V442" s="10" t="n">
        <v>2</v>
      </c>
      <c r="W442" s="10" t="n">
        <v>2</v>
      </c>
      <c r="X442" s="10" t="s">
        <v>71</v>
      </c>
      <c r="Y442" s="10" t="s">
        <v>72</v>
      </c>
      <c r="Z442" s="10" t="s">
        <v>1268</v>
      </c>
      <c r="AA442" s="13" t="s">
        <v>1731</v>
      </c>
      <c r="AB442" s="13" t="s">
        <v>1680</v>
      </c>
      <c r="AC442" s="10"/>
      <c r="AD442" s="10"/>
      <c r="AE442" s="10"/>
      <c r="AF442" s="10"/>
    </row>
    <row r="443" customFormat="false" ht="15.75" hidden="false" customHeight="false" outlineLevel="0" collapsed="false">
      <c r="A443" s="10" t="s">
        <v>539</v>
      </c>
      <c r="B443" s="10" t="s">
        <v>1328</v>
      </c>
      <c r="C443" s="10" t="s">
        <v>1245</v>
      </c>
      <c r="D443" s="10" t="n">
        <v>52861756</v>
      </c>
      <c r="E443" s="10" t="s">
        <v>107</v>
      </c>
      <c r="F443" s="12" t="n">
        <v>41072</v>
      </c>
      <c r="G443" s="10" t="s">
        <v>1732</v>
      </c>
      <c r="H443" s="10" t="s">
        <v>98</v>
      </c>
      <c r="I443" s="10" t="s">
        <v>82</v>
      </c>
      <c r="J443" s="10" t="s">
        <v>82</v>
      </c>
      <c r="K443" s="10" t="s">
        <v>1733</v>
      </c>
      <c r="L443" s="10" t="n">
        <v>1428</v>
      </c>
      <c r="M443" s="10" t="s">
        <v>88</v>
      </c>
      <c r="N443" s="10" t="s">
        <v>1328</v>
      </c>
      <c r="O443" s="10" t="n">
        <v>1141787545</v>
      </c>
      <c r="P443" s="10" t="s">
        <v>1734</v>
      </c>
      <c r="Q443" s="10"/>
      <c r="R443" s="10"/>
      <c r="S443" s="10" t="n">
        <v>1127186545</v>
      </c>
      <c r="T443" s="10"/>
      <c r="U443" s="10"/>
      <c r="V443" s="10" t="n">
        <v>1</v>
      </c>
      <c r="W443" s="10" t="n">
        <v>1</v>
      </c>
      <c r="X443" s="10" t="s">
        <v>71</v>
      </c>
      <c r="Y443" s="10" t="s">
        <v>72</v>
      </c>
      <c r="Z443" s="10" t="s">
        <v>1735</v>
      </c>
      <c r="AA443" s="13" t="s">
        <v>1736</v>
      </c>
      <c r="AB443" s="13" t="s">
        <v>1680</v>
      </c>
      <c r="AC443" s="10"/>
      <c r="AD443" s="10"/>
      <c r="AE443" s="10"/>
      <c r="AF443" s="10"/>
    </row>
    <row r="444" customFormat="false" ht="15.75" hidden="false" customHeight="false" outlineLevel="0" collapsed="false">
      <c r="A444" s="11" t="n">
        <v>46126.7225856366</v>
      </c>
      <c r="B444" s="10" t="s">
        <v>1328</v>
      </c>
      <c r="C444" s="10" t="s">
        <v>1737</v>
      </c>
      <c r="D444" s="10" t="n">
        <v>52025390</v>
      </c>
      <c r="E444" s="10" t="s">
        <v>469</v>
      </c>
      <c r="F444" s="12" t="n">
        <v>40972</v>
      </c>
      <c r="G444" s="10" t="s">
        <v>1738</v>
      </c>
      <c r="H444" s="10" t="s">
        <v>1738</v>
      </c>
      <c r="I444" s="10" t="s">
        <v>338</v>
      </c>
      <c r="J444" s="10" t="s">
        <v>338</v>
      </c>
      <c r="K444" s="10" t="s">
        <v>338</v>
      </c>
      <c r="L444" s="10" t="s">
        <v>338</v>
      </c>
      <c r="M444" s="10" t="s">
        <v>338</v>
      </c>
      <c r="N444" s="10" t="s">
        <v>338</v>
      </c>
      <c r="O444" s="10" t="s">
        <v>338</v>
      </c>
      <c r="P444" s="10" t="s">
        <v>338</v>
      </c>
      <c r="Q444" s="10"/>
      <c r="R444" s="10"/>
      <c r="S444" s="10"/>
      <c r="T444" s="10"/>
      <c r="U444" s="10"/>
      <c r="V444" s="10" t="n">
        <v>2</v>
      </c>
      <c r="W444" s="10" t="n">
        <v>4</v>
      </c>
      <c r="X444" s="10" t="s">
        <v>71</v>
      </c>
      <c r="Y444" s="10" t="s">
        <v>72</v>
      </c>
      <c r="Z444" s="10" t="s">
        <v>341</v>
      </c>
      <c r="AA444" s="13" t="s">
        <v>1739</v>
      </c>
      <c r="AB444" s="13" t="s">
        <v>1680</v>
      </c>
      <c r="AC444" s="10"/>
      <c r="AD444" s="10"/>
      <c r="AE444" s="10"/>
      <c r="AF444" s="10"/>
    </row>
    <row r="445" customFormat="false" ht="15.75" hidden="false" customHeight="true" outlineLevel="0" collapsed="false">
      <c r="A445" s="11" t="n">
        <v>46134.3868179861</v>
      </c>
      <c r="B445" s="10" t="s">
        <v>1740</v>
      </c>
      <c r="C445" s="10" t="s">
        <v>106</v>
      </c>
      <c r="D445" s="10" t="n">
        <v>49061542</v>
      </c>
      <c r="E445" s="10" t="s">
        <v>107</v>
      </c>
      <c r="F445" s="10" t="s">
        <v>1741</v>
      </c>
      <c r="G445" s="10" t="s">
        <v>1742</v>
      </c>
      <c r="H445" s="10" t="s">
        <v>1743</v>
      </c>
      <c r="I445" s="10" t="s">
        <v>82</v>
      </c>
      <c r="J445" s="10" t="s">
        <v>1744</v>
      </c>
      <c r="K445" s="10" t="s">
        <v>1745</v>
      </c>
      <c r="L445" s="10" t="n">
        <v>1428</v>
      </c>
      <c r="M445" s="10" t="s">
        <v>1746</v>
      </c>
      <c r="N445" s="10" t="s">
        <v>1747</v>
      </c>
      <c r="O445" s="10" t="n">
        <v>1145635905</v>
      </c>
      <c r="P445" s="10" t="s">
        <v>1748</v>
      </c>
      <c r="Q445" s="10" t="s">
        <v>1749</v>
      </c>
      <c r="R445" s="10" t="s">
        <v>1750</v>
      </c>
      <c r="S445" s="10" t="n">
        <v>15635905</v>
      </c>
      <c r="T445" s="10"/>
      <c r="U445" s="10" t="s">
        <v>1751</v>
      </c>
      <c r="V445" s="10" t="n">
        <v>5</v>
      </c>
      <c r="W445" s="10" t="n">
        <v>1</v>
      </c>
      <c r="X445" s="10" t="s">
        <v>71</v>
      </c>
      <c r="Y445" s="10" t="s">
        <v>132</v>
      </c>
      <c r="Z445" s="10" t="s">
        <v>627</v>
      </c>
      <c r="AA445" s="13" t="s">
        <v>1752</v>
      </c>
      <c r="AB445" s="13" t="s">
        <v>1680</v>
      </c>
      <c r="AC445" s="10"/>
      <c r="AD445" s="10"/>
      <c r="AE445" s="10"/>
      <c r="AF445" s="10"/>
    </row>
    <row r="446" customFormat="false" ht="15.75" hidden="false" customHeight="false" outlineLevel="0" collapsed="false">
      <c r="A446" s="11" t="n">
        <v>46133.4149316088</v>
      </c>
      <c r="B446" s="10" t="s">
        <v>1753</v>
      </c>
      <c r="C446" s="10" t="s">
        <v>1754</v>
      </c>
      <c r="D446" s="10" t="n">
        <v>50103753</v>
      </c>
      <c r="E446" s="10" t="s">
        <v>215</v>
      </c>
      <c r="F446" s="10" t="s">
        <v>1755</v>
      </c>
      <c r="G446" s="10" t="s">
        <v>1756</v>
      </c>
      <c r="H446" s="10" t="s">
        <v>98</v>
      </c>
      <c r="I446" s="10" t="s">
        <v>82</v>
      </c>
      <c r="J446" s="10" t="s">
        <v>82</v>
      </c>
      <c r="K446" s="10" t="s">
        <v>1757</v>
      </c>
      <c r="L446" s="10" t="n">
        <v>1430</v>
      </c>
      <c r="M446" s="10" t="s">
        <v>1758</v>
      </c>
      <c r="N446" s="10" t="s">
        <v>1759</v>
      </c>
      <c r="O446" s="10" t="n">
        <v>5491123053048</v>
      </c>
      <c r="P446" s="10" t="s">
        <v>1760</v>
      </c>
      <c r="Q446" s="10"/>
      <c r="R446" s="10"/>
      <c r="S446" s="10"/>
      <c r="T446" s="10"/>
      <c r="U446" s="10"/>
      <c r="V446" s="10" t="n">
        <v>4</v>
      </c>
      <c r="W446" s="10" t="n">
        <v>1</v>
      </c>
      <c r="X446" s="10" t="s">
        <v>71</v>
      </c>
      <c r="Y446" s="10" t="s">
        <v>90</v>
      </c>
      <c r="Z446" s="10" t="s">
        <v>91</v>
      </c>
      <c r="AA446" s="13" t="s">
        <v>1761</v>
      </c>
      <c r="AB446" s="13" t="s">
        <v>1680</v>
      </c>
      <c r="AC446" s="10"/>
      <c r="AD446" s="10"/>
      <c r="AE446" s="10"/>
      <c r="AF446" s="10"/>
    </row>
    <row r="447" customFormat="false" ht="15.75" hidden="false" customHeight="false" outlineLevel="0" collapsed="false">
      <c r="A447" s="11" t="n">
        <v>46135.4041006482</v>
      </c>
      <c r="B447" s="10" t="s">
        <v>1762</v>
      </c>
      <c r="C447" s="10" t="s">
        <v>734</v>
      </c>
      <c r="D447" s="10" t="n">
        <v>49318459</v>
      </c>
      <c r="E447" s="10" t="s">
        <v>60</v>
      </c>
      <c r="F447" s="10" t="s">
        <v>1763</v>
      </c>
      <c r="G447" s="10" t="s">
        <v>1764</v>
      </c>
      <c r="H447" s="10" t="s">
        <v>1765</v>
      </c>
      <c r="I447" s="10" t="s">
        <v>82</v>
      </c>
      <c r="J447" s="10" t="s">
        <v>152</v>
      </c>
      <c r="K447" s="10" t="s">
        <v>1766</v>
      </c>
      <c r="L447" s="10" t="n">
        <v>1430</v>
      </c>
      <c r="M447" s="10" t="s">
        <v>1767</v>
      </c>
      <c r="N447" s="10" t="s">
        <v>1768</v>
      </c>
      <c r="O447" s="10" t="n">
        <v>1125469410</v>
      </c>
      <c r="P447" s="10" t="s">
        <v>1769</v>
      </c>
      <c r="Q447" s="10"/>
      <c r="R447" s="10"/>
      <c r="S447" s="10"/>
      <c r="T447" s="10"/>
      <c r="U447" s="10"/>
      <c r="V447" s="10" t="n">
        <v>5</v>
      </c>
      <c r="W447" s="10" t="n">
        <v>1</v>
      </c>
      <c r="X447" s="10" t="s">
        <v>71</v>
      </c>
      <c r="Y447" s="10" t="s">
        <v>132</v>
      </c>
      <c r="Z447" s="10" t="s">
        <v>766</v>
      </c>
      <c r="AA447" s="13" t="s">
        <v>1770</v>
      </c>
      <c r="AB447" s="13" t="s">
        <v>1680</v>
      </c>
      <c r="AC447" s="10"/>
      <c r="AD447" s="10"/>
      <c r="AE447" s="10"/>
      <c r="AF447" s="10"/>
    </row>
    <row r="448" customFormat="false" ht="15.75" hidden="false" customHeight="false" outlineLevel="0" collapsed="false">
      <c r="A448" s="11" t="n">
        <v>46113.4888863426</v>
      </c>
      <c r="B448" s="10" t="s">
        <v>1771</v>
      </c>
      <c r="C448" s="10" t="s">
        <v>1772</v>
      </c>
      <c r="D448" s="10" t="n">
        <v>52440750</v>
      </c>
      <c r="E448" s="10" t="s">
        <v>215</v>
      </c>
      <c r="F448" s="12" t="n">
        <v>41063</v>
      </c>
      <c r="G448" s="10" t="s">
        <v>1773</v>
      </c>
      <c r="H448" s="10" t="s">
        <v>1774</v>
      </c>
      <c r="I448" s="10" t="s">
        <v>82</v>
      </c>
      <c r="J448" s="10" t="s">
        <v>528</v>
      </c>
      <c r="K448" s="10" t="s">
        <v>1775</v>
      </c>
      <c r="L448" s="10" t="n">
        <v>1429</v>
      </c>
      <c r="M448" s="10" t="s">
        <v>429</v>
      </c>
      <c r="N448" s="10" t="s">
        <v>170</v>
      </c>
      <c r="O448" s="10" t="s">
        <v>323</v>
      </c>
      <c r="P448" s="10" t="s">
        <v>323</v>
      </c>
      <c r="Q448" s="10"/>
      <c r="R448" s="10"/>
      <c r="S448" s="10"/>
      <c r="T448" s="10"/>
      <c r="U448" s="10"/>
      <c r="V448" s="10" t="n">
        <v>2</v>
      </c>
      <c r="W448" s="10" t="n">
        <v>1</v>
      </c>
      <c r="X448" s="10" t="s">
        <v>71</v>
      </c>
      <c r="Y448" s="10" t="s">
        <v>72</v>
      </c>
      <c r="Z448" s="10" t="s">
        <v>1711</v>
      </c>
      <c r="AA448" s="13" t="s">
        <v>1776</v>
      </c>
      <c r="AB448" s="13" t="s">
        <v>1680</v>
      </c>
      <c r="AC448" s="10"/>
      <c r="AD448" s="10"/>
      <c r="AE448" s="10"/>
      <c r="AF448" s="10"/>
    </row>
    <row r="449" customFormat="false" ht="15.75" hidden="false" customHeight="false" outlineLevel="0" collapsed="false">
      <c r="A449" s="11" t="n">
        <v>46118.3789634028</v>
      </c>
      <c r="B449" s="10" t="s">
        <v>1777</v>
      </c>
      <c r="C449" s="10" t="s">
        <v>1778</v>
      </c>
      <c r="D449" s="10" t="n">
        <v>52089488</v>
      </c>
      <c r="E449" s="10" t="s">
        <v>107</v>
      </c>
      <c r="F449" s="10" t="s">
        <v>1779</v>
      </c>
      <c r="G449" s="10" t="s">
        <v>1780</v>
      </c>
      <c r="H449" s="10" t="s">
        <v>1781</v>
      </c>
      <c r="I449" s="10" t="s">
        <v>1080</v>
      </c>
      <c r="J449" s="10" t="s">
        <v>1782</v>
      </c>
      <c r="K449" s="10" t="s">
        <v>1783</v>
      </c>
      <c r="L449" s="10" t="n">
        <v>1678</v>
      </c>
      <c r="M449" s="10" t="s">
        <v>1784</v>
      </c>
      <c r="N449" s="10" t="s">
        <v>1785</v>
      </c>
      <c r="O449" s="10" t="n">
        <v>1156026317</v>
      </c>
      <c r="P449" s="10" t="s">
        <v>1786</v>
      </c>
      <c r="Q449" s="10"/>
      <c r="R449" s="10"/>
      <c r="S449" s="10"/>
      <c r="T449" s="10"/>
      <c r="U449" s="10"/>
      <c r="V449" s="10" t="n">
        <v>2</v>
      </c>
      <c r="W449" s="10" t="n">
        <v>3</v>
      </c>
      <c r="X449" s="10" t="s">
        <v>71</v>
      </c>
      <c r="Y449" s="10" t="s">
        <v>72</v>
      </c>
      <c r="Z449" s="10" t="s">
        <v>1151</v>
      </c>
      <c r="AA449" s="13" t="s">
        <v>1787</v>
      </c>
      <c r="AB449" s="13" t="s">
        <v>1680</v>
      </c>
      <c r="AC449" s="10"/>
      <c r="AD449" s="10"/>
      <c r="AE449" s="10"/>
      <c r="AF449" s="10"/>
    </row>
    <row r="450" customFormat="false" ht="15.75" hidden="false" customHeight="false" outlineLevel="0" collapsed="false">
      <c r="A450" s="11" t="n">
        <v>46127.6327334375</v>
      </c>
      <c r="B450" s="10" t="s">
        <v>1788</v>
      </c>
      <c r="C450" s="10" t="s">
        <v>1789</v>
      </c>
      <c r="D450" s="10" t="n">
        <v>50320324</v>
      </c>
      <c r="E450" s="10" t="s">
        <v>107</v>
      </c>
      <c r="F450" s="12" t="n">
        <v>40458</v>
      </c>
      <c r="G450" s="10" t="s">
        <v>1790</v>
      </c>
      <c r="H450" s="10" t="s">
        <v>1790</v>
      </c>
      <c r="I450" s="10" t="s">
        <v>82</v>
      </c>
      <c r="J450" s="10" t="s">
        <v>528</v>
      </c>
      <c r="K450" s="10" t="s">
        <v>1791</v>
      </c>
      <c r="L450" s="10" t="n">
        <v>1429</v>
      </c>
      <c r="M450" s="10" t="s">
        <v>1792</v>
      </c>
      <c r="N450" s="10" t="s">
        <v>1793</v>
      </c>
      <c r="O450" s="10" t="s">
        <v>1794</v>
      </c>
      <c r="P450" s="10" t="s">
        <v>1795</v>
      </c>
      <c r="Q450" s="10"/>
      <c r="R450" s="10"/>
      <c r="S450" s="10"/>
      <c r="T450" s="10"/>
      <c r="U450" s="10"/>
      <c r="V450" s="10" t="n">
        <v>3</v>
      </c>
      <c r="W450" s="10" t="n">
        <v>2</v>
      </c>
      <c r="X450" s="10" t="s">
        <v>71</v>
      </c>
      <c r="Y450" s="10" t="s">
        <v>72</v>
      </c>
      <c r="Z450" s="10" t="s">
        <v>627</v>
      </c>
      <c r="AA450" s="13" t="s">
        <v>1796</v>
      </c>
      <c r="AB450" s="13" t="s">
        <v>1797</v>
      </c>
      <c r="AC450" s="10"/>
      <c r="AD450" s="10"/>
      <c r="AE450" s="10"/>
      <c r="AF450" s="10"/>
    </row>
    <row r="451" customFormat="false" ht="15.75" hidden="false" customHeight="false" outlineLevel="0" collapsed="false">
      <c r="A451" s="11" t="n">
        <v>46126.7045208681</v>
      </c>
      <c r="B451" s="10" t="s">
        <v>1798</v>
      </c>
      <c r="C451" s="10" t="s">
        <v>1799</v>
      </c>
      <c r="D451" s="10" t="n">
        <v>52401676</v>
      </c>
      <c r="E451" s="10" t="s">
        <v>95</v>
      </c>
      <c r="F451" s="10" t="s">
        <v>1800</v>
      </c>
      <c r="G451" s="10" t="s">
        <v>1801</v>
      </c>
      <c r="H451" s="10" t="s">
        <v>1801</v>
      </c>
      <c r="I451" s="10" t="s">
        <v>1802</v>
      </c>
      <c r="J451" s="10" t="s">
        <v>1803</v>
      </c>
      <c r="K451" s="10" t="s">
        <v>338</v>
      </c>
      <c r="L451" s="10" t="s">
        <v>338</v>
      </c>
      <c r="M451" s="10" t="s">
        <v>338</v>
      </c>
      <c r="N451" s="10" t="s">
        <v>338</v>
      </c>
      <c r="O451" s="10" t="s">
        <v>338</v>
      </c>
      <c r="P451" s="10" t="s">
        <v>338</v>
      </c>
      <c r="Q451" s="10"/>
      <c r="R451" s="10"/>
      <c r="S451" s="10"/>
      <c r="T451" s="10"/>
      <c r="U451" s="10"/>
      <c r="V451" s="10" t="n">
        <v>2</v>
      </c>
      <c r="W451" s="10" t="n">
        <v>4</v>
      </c>
      <c r="X451" s="10" t="s">
        <v>71</v>
      </c>
      <c r="Y451" s="10" t="s">
        <v>72</v>
      </c>
      <c r="Z451" s="10" t="s">
        <v>341</v>
      </c>
      <c r="AA451" s="13" t="s">
        <v>1804</v>
      </c>
      <c r="AB451" s="13" t="s">
        <v>1805</v>
      </c>
      <c r="AC451" s="10"/>
      <c r="AD451" s="10"/>
      <c r="AE451" s="10"/>
      <c r="AF451" s="10"/>
    </row>
    <row r="452" customFormat="false" ht="15.75" hidden="false" customHeight="false" outlineLevel="0" collapsed="false">
      <c r="A452" s="11" t="n">
        <v>46141.466596169</v>
      </c>
      <c r="B452" s="10" t="s">
        <v>1806</v>
      </c>
      <c r="C452" s="10" t="s">
        <v>1807</v>
      </c>
      <c r="D452" s="10" t="n">
        <v>48041075</v>
      </c>
      <c r="E452" s="10" t="s">
        <v>95</v>
      </c>
      <c r="F452" s="10" t="s">
        <v>1808</v>
      </c>
      <c r="G452" s="10" t="s">
        <v>1809</v>
      </c>
      <c r="H452" s="10" t="s">
        <v>1810</v>
      </c>
      <c r="I452" s="10" t="s">
        <v>335</v>
      </c>
      <c r="J452" s="10" t="s">
        <v>1008</v>
      </c>
      <c r="K452" s="10" t="s">
        <v>1811</v>
      </c>
      <c r="L452" s="10" t="n">
        <v>0</v>
      </c>
      <c r="M452" s="10" t="s">
        <v>1812</v>
      </c>
      <c r="N452" s="10" t="s">
        <v>1813</v>
      </c>
      <c r="O452" s="10" t="n">
        <v>1164908030</v>
      </c>
      <c r="P452" s="10" t="s">
        <v>1814</v>
      </c>
      <c r="Q452" s="10"/>
      <c r="R452" s="10"/>
      <c r="S452" s="10"/>
      <c r="T452" s="10"/>
      <c r="U452" s="10" t="s">
        <v>1815</v>
      </c>
      <c r="V452" s="10" t="n">
        <v>6</v>
      </c>
      <c r="W452" s="10" t="n">
        <v>1</v>
      </c>
      <c r="X452" s="10" t="s">
        <v>71</v>
      </c>
      <c r="Y452" s="10" t="s">
        <v>132</v>
      </c>
      <c r="Z452" s="10" t="s">
        <v>1816</v>
      </c>
      <c r="AA452" s="13" t="s">
        <v>1817</v>
      </c>
      <c r="AB452" s="13" t="s">
        <v>1805</v>
      </c>
      <c r="AC452" s="10"/>
      <c r="AD452" s="10"/>
      <c r="AE452" s="10"/>
      <c r="AF452" s="10"/>
    </row>
    <row r="453" customFormat="false" ht="15.75" hidden="false" customHeight="false" outlineLevel="0" collapsed="false">
      <c r="A453" s="11" t="n">
        <v>46139.4156501042</v>
      </c>
      <c r="B453" s="10" t="s">
        <v>1818</v>
      </c>
      <c r="C453" s="10" t="s">
        <v>757</v>
      </c>
      <c r="D453" s="10" t="n">
        <v>48460423</v>
      </c>
      <c r="E453" s="10" t="s">
        <v>366</v>
      </c>
      <c r="F453" s="10" t="s">
        <v>1819</v>
      </c>
      <c r="G453" s="10" t="s">
        <v>1820</v>
      </c>
      <c r="H453" s="10" t="s">
        <v>1821</v>
      </c>
      <c r="I453" s="10" t="s">
        <v>688</v>
      </c>
      <c r="J453" s="10" t="s">
        <v>1822</v>
      </c>
      <c r="K453" s="10" t="s">
        <v>1823</v>
      </c>
      <c r="L453" s="10" t="n">
        <v>1636</v>
      </c>
      <c r="M453" s="10" t="s">
        <v>1824</v>
      </c>
      <c r="N453" s="10" t="s">
        <v>1818</v>
      </c>
      <c r="O453" s="10" t="e">
        <f aca="false">#error!</f>
        <v>#NAME?</v>
      </c>
      <c r="P453" s="10" t="s">
        <v>1825</v>
      </c>
      <c r="Q453" s="10"/>
      <c r="R453" s="10"/>
      <c r="S453" s="10"/>
      <c r="T453" s="10"/>
      <c r="U453" s="10"/>
      <c r="V453" s="10" t="n">
        <v>6</v>
      </c>
      <c r="W453" s="10" t="n">
        <v>1</v>
      </c>
      <c r="X453" s="10" t="s">
        <v>71</v>
      </c>
      <c r="Y453" s="10" t="s">
        <v>132</v>
      </c>
      <c r="Z453" s="10" t="s">
        <v>1826</v>
      </c>
      <c r="AA453" s="13" t="s">
        <v>1827</v>
      </c>
      <c r="AB453" s="13" t="s">
        <v>1805</v>
      </c>
      <c r="AC453" s="10"/>
      <c r="AD453" s="10"/>
      <c r="AE453" s="10"/>
      <c r="AF453" s="10"/>
    </row>
    <row r="454" customFormat="false" ht="15.75" hidden="false" customHeight="false" outlineLevel="0" collapsed="false">
      <c r="A454" s="11" t="n">
        <v>46134.9484581366</v>
      </c>
      <c r="B454" s="10" t="s">
        <v>1828</v>
      </c>
      <c r="C454" s="10" t="s">
        <v>1829</v>
      </c>
      <c r="D454" s="10" t="n">
        <v>49875800</v>
      </c>
      <c r="E454" s="10" t="s">
        <v>107</v>
      </c>
      <c r="F454" s="10" t="s">
        <v>1830</v>
      </c>
      <c r="G454" s="10" t="s">
        <v>1831</v>
      </c>
      <c r="H454" s="10" t="s">
        <v>1831</v>
      </c>
      <c r="I454" s="10" t="s">
        <v>1089</v>
      </c>
      <c r="J454" s="10" t="s">
        <v>1643</v>
      </c>
      <c r="K454" s="10" t="s">
        <v>1832</v>
      </c>
      <c r="L454" s="10" t="n">
        <v>1429</v>
      </c>
      <c r="M454" s="10" t="s">
        <v>1833</v>
      </c>
      <c r="N454" s="10" t="s">
        <v>1834</v>
      </c>
      <c r="O454" s="10" t="s">
        <v>1835</v>
      </c>
      <c r="P454" s="10" t="s">
        <v>1836</v>
      </c>
      <c r="Q454" s="10"/>
      <c r="R454" s="10"/>
      <c r="S454" s="10"/>
      <c r="T454" s="10"/>
      <c r="U454" s="10" t="s">
        <v>1837</v>
      </c>
      <c r="V454" s="10" t="n">
        <v>4</v>
      </c>
      <c r="W454" s="10" t="n">
        <v>1</v>
      </c>
      <c r="X454" s="10" t="s">
        <v>71</v>
      </c>
      <c r="Y454" s="10" t="s">
        <v>132</v>
      </c>
      <c r="Z454" s="10" t="s">
        <v>443</v>
      </c>
      <c r="AA454" s="13" t="s">
        <v>1838</v>
      </c>
      <c r="AB454" s="13" t="s">
        <v>1805</v>
      </c>
      <c r="AC454" s="10"/>
      <c r="AD454" s="10"/>
      <c r="AE454" s="10"/>
      <c r="AF454" s="10"/>
    </row>
    <row r="455" customFormat="false" ht="15.75" hidden="false" customHeight="false" outlineLevel="0" collapsed="false">
      <c r="A455" s="11" t="n">
        <v>46120.4892522685</v>
      </c>
      <c r="B455" s="10" t="s">
        <v>1839</v>
      </c>
      <c r="C455" s="10" t="s">
        <v>1840</v>
      </c>
      <c r="D455" s="10" t="n">
        <v>52137607</v>
      </c>
      <c r="E455" s="10" t="s">
        <v>60</v>
      </c>
      <c r="F455" s="12" t="n">
        <v>41184</v>
      </c>
      <c r="G455" s="10" t="s">
        <v>1841</v>
      </c>
      <c r="H455" s="10" t="s">
        <v>1841</v>
      </c>
      <c r="I455" s="10" t="s">
        <v>82</v>
      </c>
      <c r="J455" s="10" t="s">
        <v>82</v>
      </c>
      <c r="K455" s="10" t="s">
        <v>396</v>
      </c>
      <c r="L455" s="10" t="s">
        <v>397</v>
      </c>
      <c r="M455" s="10" t="s">
        <v>1842</v>
      </c>
      <c r="N455" s="10" t="s">
        <v>1843</v>
      </c>
      <c r="O455" s="10" t="n">
        <v>1162950773</v>
      </c>
      <c r="P455" s="10" t="s">
        <v>1844</v>
      </c>
      <c r="Q455" s="10" t="s">
        <v>1845</v>
      </c>
      <c r="R455" s="10"/>
      <c r="S455" s="10" t="n">
        <v>15504220445</v>
      </c>
      <c r="T455" s="10"/>
      <c r="U455" s="10" t="s">
        <v>1846</v>
      </c>
      <c r="V455" s="10" t="n">
        <v>2</v>
      </c>
      <c r="W455" s="10" t="n">
        <v>6</v>
      </c>
      <c r="X455" s="10" t="s">
        <v>71</v>
      </c>
      <c r="Y455" s="10" t="s">
        <v>72</v>
      </c>
      <c r="Z455" s="10" t="s">
        <v>404</v>
      </c>
      <c r="AA455" s="13" t="s">
        <v>1847</v>
      </c>
      <c r="AB455" s="13" t="s">
        <v>1805</v>
      </c>
      <c r="AC455" s="10"/>
      <c r="AD455" s="10"/>
      <c r="AE455" s="10"/>
      <c r="AF455" s="10"/>
    </row>
    <row r="456" customFormat="false" ht="15.75" hidden="false" customHeight="false" outlineLevel="0" collapsed="false">
      <c r="A456" s="11" t="n">
        <v>46128.4114684491</v>
      </c>
      <c r="B456" s="10" t="s">
        <v>1848</v>
      </c>
      <c r="C456" s="10" t="s">
        <v>1849</v>
      </c>
      <c r="D456" s="10" t="n">
        <v>50724746</v>
      </c>
      <c r="E456" s="10" t="s">
        <v>107</v>
      </c>
      <c r="F456" s="10" t="s">
        <v>1850</v>
      </c>
      <c r="G456" s="10" t="s">
        <v>1851</v>
      </c>
      <c r="H456" s="10" t="s">
        <v>1852</v>
      </c>
      <c r="I456" s="10" t="s">
        <v>82</v>
      </c>
      <c r="J456" s="10" t="s">
        <v>1291</v>
      </c>
      <c r="K456" s="10" t="s">
        <v>1853</v>
      </c>
      <c r="L456" s="10" t="n">
        <v>1430</v>
      </c>
      <c r="M456" s="10" t="s">
        <v>1854</v>
      </c>
      <c r="N456" s="10" t="s">
        <v>1855</v>
      </c>
      <c r="O456" s="10" t="n">
        <v>91164823546</v>
      </c>
      <c r="P456" s="10" t="s">
        <v>1856</v>
      </c>
      <c r="Q456" s="10" t="s">
        <v>1857</v>
      </c>
      <c r="R456" s="10" t="s">
        <v>1858</v>
      </c>
      <c r="S456" s="10" t="n">
        <v>91122501960</v>
      </c>
      <c r="T456" s="10" t="s">
        <v>1859</v>
      </c>
      <c r="U456" s="10"/>
      <c r="V456" s="10" t="n">
        <v>3</v>
      </c>
      <c r="W456" s="10" t="n">
        <v>3</v>
      </c>
      <c r="X456" s="10" t="s">
        <v>71</v>
      </c>
      <c r="Y456" s="10" t="s">
        <v>72</v>
      </c>
      <c r="Z456" s="10" t="s">
        <v>766</v>
      </c>
      <c r="AA456" s="13" t="s">
        <v>1860</v>
      </c>
      <c r="AB456" s="13" t="s">
        <v>1805</v>
      </c>
      <c r="AC456" s="10"/>
      <c r="AD456" s="10"/>
      <c r="AE456" s="10"/>
      <c r="AF456" s="10"/>
    </row>
    <row r="457" customFormat="false" ht="15.75" hidden="false" customHeight="false" outlineLevel="0" collapsed="false">
      <c r="A457" s="11" t="n">
        <v>46128.4224496875</v>
      </c>
      <c r="B457" s="10" t="s">
        <v>1861</v>
      </c>
      <c r="C457" s="10" t="s">
        <v>1862</v>
      </c>
      <c r="D457" s="10" t="n">
        <v>50700288</v>
      </c>
      <c r="E457" s="10" t="s">
        <v>107</v>
      </c>
      <c r="F457" s="10" t="s">
        <v>1863</v>
      </c>
      <c r="G457" s="10" t="s">
        <v>1864</v>
      </c>
      <c r="H457" s="10" t="s">
        <v>1865</v>
      </c>
      <c r="I457" s="10" t="s">
        <v>82</v>
      </c>
      <c r="J457" s="10" t="s">
        <v>1291</v>
      </c>
      <c r="K457" s="10" t="s">
        <v>1866</v>
      </c>
      <c r="L457" s="10" t="n">
        <v>1430</v>
      </c>
      <c r="M457" s="10" t="s">
        <v>1867</v>
      </c>
      <c r="N457" s="10" t="s">
        <v>1868</v>
      </c>
      <c r="O457" s="10" t="n">
        <v>1164418034</v>
      </c>
      <c r="P457" s="10" t="s">
        <v>1869</v>
      </c>
      <c r="Q457" s="10" t="s">
        <v>1870</v>
      </c>
      <c r="R457" s="10" t="s">
        <v>1871</v>
      </c>
      <c r="S457" s="10" t="n">
        <v>1145329345</v>
      </c>
      <c r="T457" s="10" t="s">
        <v>1872</v>
      </c>
      <c r="U457" s="10"/>
      <c r="V457" s="10" t="n">
        <v>3</v>
      </c>
      <c r="W457" s="10" t="n">
        <v>3</v>
      </c>
      <c r="X457" s="10" t="s">
        <v>71</v>
      </c>
      <c r="Y457" s="10" t="s">
        <v>72</v>
      </c>
      <c r="Z457" s="10" t="s">
        <v>794</v>
      </c>
      <c r="AA457" s="13" t="s">
        <v>1873</v>
      </c>
      <c r="AB457" s="13" t="s">
        <v>1805</v>
      </c>
      <c r="AC457" s="10"/>
      <c r="AD457" s="10"/>
      <c r="AE457" s="10"/>
      <c r="AF457" s="10"/>
    </row>
    <row r="458" customFormat="false" ht="15.75" hidden="false" customHeight="false" outlineLevel="0" collapsed="false">
      <c r="A458" s="11" t="n">
        <v>46113.029719838</v>
      </c>
      <c r="B458" s="10" t="s">
        <v>1874</v>
      </c>
      <c r="C458" s="10" t="s">
        <v>1875</v>
      </c>
      <c r="D458" s="10" t="n">
        <v>52858203</v>
      </c>
      <c r="E458" s="10" t="s">
        <v>107</v>
      </c>
      <c r="F458" s="12" t="n">
        <v>40980</v>
      </c>
      <c r="G458" s="10" t="s">
        <v>1876</v>
      </c>
      <c r="H458" s="10" t="s">
        <v>98</v>
      </c>
      <c r="I458" s="10" t="s">
        <v>1080</v>
      </c>
      <c r="J458" s="10" t="s">
        <v>243</v>
      </c>
      <c r="K458" s="10" t="s">
        <v>243</v>
      </c>
      <c r="L458" s="10" t="n">
        <v>1234</v>
      </c>
      <c r="M458" s="10" t="s">
        <v>1877</v>
      </c>
      <c r="N458" s="10" t="s">
        <v>1878</v>
      </c>
      <c r="O458" s="10" t="n">
        <v>1162207228</v>
      </c>
      <c r="P458" s="10" t="s">
        <v>1879</v>
      </c>
      <c r="Q458" s="10"/>
      <c r="R458" s="10"/>
      <c r="S458" s="10"/>
      <c r="T458" s="10"/>
      <c r="U458" s="10"/>
      <c r="V458" s="10" t="n">
        <v>1</v>
      </c>
      <c r="W458" s="10" t="n">
        <v>3</v>
      </c>
      <c r="X458" s="10" t="s">
        <v>71</v>
      </c>
      <c r="Y458" s="10" t="s">
        <v>72</v>
      </c>
      <c r="Z458" s="10" t="s">
        <v>221</v>
      </c>
      <c r="AA458" s="13" t="s">
        <v>1880</v>
      </c>
      <c r="AB458" s="13" t="s">
        <v>1805</v>
      </c>
      <c r="AC458" s="10"/>
      <c r="AD458" s="10"/>
      <c r="AE458" s="10"/>
      <c r="AF458" s="10"/>
    </row>
    <row r="459" customFormat="false" ht="15.75" hidden="false" customHeight="false" outlineLevel="0" collapsed="false">
      <c r="A459" s="11" t="n">
        <v>46129.3658059491</v>
      </c>
      <c r="B459" s="10" t="s">
        <v>1881</v>
      </c>
      <c r="C459" s="10" t="s">
        <v>1882</v>
      </c>
      <c r="D459" s="10" t="n">
        <v>51122667</v>
      </c>
      <c r="E459" s="10" t="s">
        <v>107</v>
      </c>
      <c r="F459" s="10" t="s">
        <v>1883</v>
      </c>
      <c r="G459" s="10" t="s">
        <v>1884</v>
      </c>
      <c r="H459" s="10" t="s">
        <v>98</v>
      </c>
      <c r="I459" s="10" t="s">
        <v>82</v>
      </c>
      <c r="J459" s="10" t="s">
        <v>1275</v>
      </c>
      <c r="K459" s="10" t="s">
        <v>1885</v>
      </c>
      <c r="L459" s="10" t="n">
        <v>1430</v>
      </c>
      <c r="M459" s="10" t="s">
        <v>1886</v>
      </c>
      <c r="N459" s="10" t="s">
        <v>1887</v>
      </c>
      <c r="O459" s="10" t="n">
        <v>1152487173</v>
      </c>
      <c r="P459" s="10" t="s">
        <v>1888</v>
      </c>
      <c r="Q459" s="10"/>
      <c r="R459" s="10"/>
      <c r="S459" s="10"/>
      <c r="T459" s="10"/>
      <c r="U459" s="10"/>
      <c r="V459" s="10" t="n">
        <v>3</v>
      </c>
      <c r="W459" s="10" t="n">
        <v>1</v>
      </c>
      <c r="X459" s="10" t="s">
        <v>71</v>
      </c>
      <c r="Y459" s="10" t="s">
        <v>72</v>
      </c>
      <c r="Z459" s="10" t="s">
        <v>308</v>
      </c>
      <c r="AA459" s="13" t="s">
        <v>1889</v>
      </c>
      <c r="AB459" s="13" t="s">
        <v>1805</v>
      </c>
      <c r="AC459" s="10"/>
      <c r="AD459" s="10"/>
      <c r="AE459" s="10"/>
      <c r="AF459" s="10"/>
    </row>
    <row r="460" customFormat="false" ht="15.75" hidden="false" customHeight="false" outlineLevel="0" collapsed="false">
      <c r="A460" s="11" t="n">
        <v>46126.6223279167</v>
      </c>
      <c r="B460" s="10" t="s">
        <v>1890</v>
      </c>
      <c r="C460" s="10" t="s">
        <v>1891</v>
      </c>
      <c r="D460" s="10" t="n">
        <v>53244218</v>
      </c>
      <c r="E460" s="10" t="s">
        <v>215</v>
      </c>
      <c r="F460" s="12" t="n">
        <v>41460</v>
      </c>
      <c r="G460" s="10" t="s">
        <v>1892</v>
      </c>
      <c r="H460" s="10" t="s">
        <v>1189</v>
      </c>
      <c r="I460" s="10" t="s">
        <v>82</v>
      </c>
      <c r="J460" s="10" t="s">
        <v>82</v>
      </c>
      <c r="K460" s="10" t="s">
        <v>82</v>
      </c>
      <c r="L460" s="10" t="n">
        <v>1430</v>
      </c>
      <c r="M460" s="10" t="s">
        <v>1893</v>
      </c>
      <c r="N460" s="10" t="s">
        <v>1894</v>
      </c>
      <c r="O460" s="10" t="n">
        <v>1150121942</v>
      </c>
      <c r="P460" s="10" t="s">
        <v>1895</v>
      </c>
      <c r="Q460" s="10"/>
      <c r="R460" s="10"/>
      <c r="S460" s="10"/>
      <c r="T460" s="10"/>
      <c r="U460" s="10"/>
      <c r="V460" s="10" t="n">
        <v>1</v>
      </c>
      <c r="W460" s="10" t="n">
        <v>4</v>
      </c>
      <c r="X460" s="10" t="s">
        <v>71</v>
      </c>
      <c r="Y460" s="10" t="s">
        <v>72</v>
      </c>
      <c r="Z460" s="10" t="s">
        <v>454</v>
      </c>
      <c r="AA460" s="13" t="s">
        <v>1896</v>
      </c>
      <c r="AB460" s="13" t="s">
        <v>1805</v>
      </c>
      <c r="AC460" s="10"/>
      <c r="AD460" s="10"/>
      <c r="AE460" s="10"/>
      <c r="AF460" s="10"/>
    </row>
    <row r="461" customFormat="false" ht="15.75" hidden="false" customHeight="false" outlineLevel="0" collapsed="false">
      <c r="A461" s="11" t="n">
        <v>46182.6777241551</v>
      </c>
      <c r="B461" s="10" t="s">
        <v>1897</v>
      </c>
      <c r="C461" s="10" t="s">
        <v>1898</v>
      </c>
      <c r="D461" s="10" t="n">
        <v>50488709</v>
      </c>
      <c r="E461" s="10" t="s">
        <v>107</v>
      </c>
      <c r="F461" s="10" t="s">
        <v>1899</v>
      </c>
      <c r="G461" s="10" t="s">
        <v>1900</v>
      </c>
      <c r="H461" s="10" t="s">
        <v>1901</v>
      </c>
      <c r="I461" s="10" t="s">
        <v>82</v>
      </c>
      <c r="J461" s="10" t="s">
        <v>82</v>
      </c>
      <c r="K461" s="10" t="s">
        <v>1902</v>
      </c>
      <c r="L461" s="10" t="n">
        <v>1430</v>
      </c>
      <c r="M461" s="10" t="s">
        <v>936</v>
      </c>
      <c r="N461" s="10" t="s">
        <v>1897</v>
      </c>
      <c r="O461" s="10" t="n">
        <v>1134429620</v>
      </c>
      <c r="P461" s="10" t="s">
        <v>1903</v>
      </c>
      <c r="Q461" s="10"/>
      <c r="R461" s="10"/>
      <c r="S461" s="10"/>
      <c r="T461" s="10"/>
      <c r="U461" s="10"/>
      <c r="V461" s="10" t="n">
        <v>3</v>
      </c>
      <c r="W461" s="10" t="n">
        <v>5</v>
      </c>
      <c r="X461" s="10" t="s">
        <v>71</v>
      </c>
      <c r="Y461" s="10" t="s">
        <v>72</v>
      </c>
      <c r="Z461" s="10" t="s">
        <v>766</v>
      </c>
      <c r="AA461" s="13" t="s">
        <v>1904</v>
      </c>
      <c r="AB461" s="13" t="s">
        <v>1805</v>
      </c>
      <c r="AC461" s="10"/>
      <c r="AD461" s="10"/>
      <c r="AE461" s="10"/>
      <c r="AF461" s="10"/>
    </row>
    <row r="462" customFormat="false" ht="15.75" hidden="false" customHeight="false" outlineLevel="0" collapsed="false">
      <c r="A462" s="11" t="n">
        <v>46127.6526768519</v>
      </c>
      <c r="B462" s="10" t="s">
        <v>1905</v>
      </c>
      <c r="C462" s="10" t="s">
        <v>355</v>
      </c>
      <c r="D462" s="10" t="n">
        <v>50581197</v>
      </c>
      <c r="E462" s="10" t="s">
        <v>107</v>
      </c>
      <c r="F462" s="10" t="s">
        <v>1906</v>
      </c>
      <c r="G462" s="10" t="s">
        <v>1907</v>
      </c>
      <c r="H462" s="10" t="s">
        <v>1907</v>
      </c>
      <c r="I462" s="10" t="s">
        <v>347</v>
      </c>
      <c r="J462" s="10" t="s">
        <v>395</v>
      </c>
      <c r="K462" s="10" t="s">
        <v>1908</v>
      </c>
      <c r="L462" s="10" t="n">
        <v>1638</v>
      </c>
      <c r="M462" s="10" t="s">
        <v>1909</v>
      </c>
      <c r="N462" s="10" t="s">
        <v>1910</v>
      </c>
      <c r="O462" s="10" t="s">
        <v>1911</v>
      </c>
      <c r="P462" s="10" t="s">
        <v>1912</v>
      </c>
      <c r="Q462" s="10"/>
      <c r="R462" s="10"/>
      <c r="S462" s="10"/>
      <c r="T462" s="10"/>
      <c r="U462" s="10"/>
      <c r="V462" s="10" t="n">
        <v>3</v>
      </c>
      <c r="W462" s="10" t="n">
        <v>5</v>
      </c>
      <c r="X462" s="10" t="s">
        <v>71</v>
      </c>
      <c r="Y462" s="10" t="s">
        <v>72</v>
      </c>
      <c r="Z462" s="10" t="s">
        <v>1913</v>
      </c>
      <c r="AA462" s="13" t="s">
        <v>1914</v>
      </c>
      <c r="AB462" s="13" t="s">
        <v>1805</v>
      </c>
      <c r="AC462" s="10"/>
      <c r="AD462" s="10"/>
      <c r="AE462" s="10"/>
      <c r="AF462" s="10"/>
    </row>
    <row r="463" customFormat="false" ht="15.75" hidden="false" customHeight="false" outlineLevel="0" collapsed="false">
      <c r="A463" s="11" t="n">
        <v>46141.3589036227</v>
      </c>
      <c r="B463" s="10" t="s">
        <v>1905</v>
      </c>
      <c r="C463" s="10" t="s">
        <v>757</v>
      </c>
      <c r="D463" s="10" t="n">
        <v>50581198</v>
      </c>
      <c r="E463" s="10" t="s">
        <v>95</v>
      </c>
      <c r="F463" s="10" t="s">
        <v>1906</v>
      </c>
      <c r="G463" s="10" t="s">
        <v>1915</v>
      </c>
      <c r="H463" s="10" t="s">
        <v>963</v>
      </c>
      <c r="I463" s="10" t="s">
        <v>82</v>
      </c>
      <c r="J463" s="10" t="s">
        <v>1550</v>
      </c>
      <c r="K463" s="10" t="s">
        <v>1916</v>
      </c>
      <c r="L463" s="10" t="n">
        <v>0</v>
      </c>
      <c r="M463" s="10" t="s">
        <v>1917</v>
      </c>
      <c r="N463" s="10" t="s">
        <v>1918</v>
      </c>
      <c r="O463" s="10" t="n">
        <v>30011951</v>
      </c>
      <c r="P463" s="10" t="s">
        <v>1919</v>
      </c>
      <c r="Q463" s="10"/>
      <c r="R463" s="10"/>
      <c r="S463" s="10"/>
      <c r="T463" s="10"/>
      <c r="U463" s="10" t="s">
        <v>229</v>
      </c>
      <c r="V463" s="10" t="n">
        <v>3</v>
      </c>
      <c r="W463" s="10" t="n">
        <v>1</v>
      </c>
      <c r="X463" s="10" t="s">
        <v>71</v>
      </c>
      <c r="Y463" s="10" t="s">
        <v>72</v>
      </c>
      <c r="Z463" s="10" t="s">
        <v>319</v>
      </c>
      <c r="AA463" s="13" t="s">
        <v>1920</v>
      </c>
      <c r="AB463" s="13" t="s">
        <v>1805</v>
      </c>
      <c r="AC463" s="10"/>
      <c r="AD463" s="10"/>
      <c r="AE463" s="10"/>
      <c r="AF463" s="10"/>
    </row>
    <row r="464" customFormat="false" ht="15.75" hidden="false" customHeight="false" outlineLevel="0" collapsed="false">
      <c r="A464" s="11" t="n">
        <v>46127.456690162</v>
      </c>
      <c r="B464" s="10" t="s">
        <v>1921</v>
      </c>
      <c r="C464" s="10" t="s">
        <v>1922</v>
      </c>
      <c r="D464" s="10" t="n">
        <v>50907462</v>
      </c>
      <c r="E464" s="10" t="s">
        <v>107</v>
      </c>
      <c r="F464" s="12" t="n">
        <v>40664</v>
      </c>
      <c r="G464" s="10" t="s">
        <v>1923</v>
      </c>
      <c r="H464" s="10" t="s">
        <v>1924</v>
      </c>
      <c r="I464" s="10" t="s">
        <v>82</v>
      </c>
      <c r="J464" s="10" t="s">
        <v>1925</v>
      </c>
      <c r="K464" s="10" t="s">
        <v>1926</v>
      </c>
      <c r="L464" s="10" t="n">
        <v>1429</v>
      </c>
      <c r="M464" s="10" t="s">
        <v>1927</v>
      </c>
      <c r="N464" s="10" t="s">
        <v>1928</v>
      </c>
      <c r="O464" s="10" t="n">
        <v>5491133102497</v>
      </c>
      <c r="P464" s="10" t="s">
        <v>1929</v>
      </c>
      <c r="Q464" s="10"/>
      <c r="R464" s="10"/>
      <c r="S464" s="10"/>
      <c r="T464" s="10"/>
      <c r="U464" s="10"/>
      <c r="V464" s="10" t="n">
        <v>3</v>
      </c>
      <c r="W464" s="10" t="n">
        <v>3</v>
      </c>
      <c r="X464" s="10" t="s">
        <v>71</v>
      </c>
      <c r="Y464" s="10" t="s">
        <v>72</v>
      </c>
      <c r="Z464" s="10" t="s">
        <v>766</v>
      </c>
      <c r="AA464" s="13" t="s">
        <v>1930</v>
      </c>
      <c r="AB464" s="13" t="s">
        <v>1805</v>
      </c>
      <c r="AC464" s="10"/>
      <c r="AD464" s="10"/>
      <c r="AE464" s="10"/>
      <c r="AF464" s="10"/>
    </row>
    <row r="465" customFormat="false" ht="15.75" hidden="false" customHeight="true" outlineLevel="0" collapsed="false">
      <c r="A465" s="11" t="n">
        <v>46118.5894918519</v>
      </c>
      <c r="B465" s="10" t="s">
        <v>1931</v>
      </c>
      <c r="C465" s="10" t="s">
        <v>1226</v>
      </c>
      <c r="D465" s="10" t="n">
        <v>51068694</v>
      </c>
      <c r="E465" s="10" t="s">
        <v>107</v>
      </c>
      <c r="F465" s="12" t="n">
        <v>40579</v>
      </c>
      <c r="G465" s="10" t="s">
        <v>1932</v>
      </c>
      <c r="H465" s="10" t="s">
        <v>1932</v>
      </c>
      <c r="I465" s="10" t="s">
        <v>82</v>
      </c>
      <c r="J465" s="10" t="s">
        <v>82</v>
      </c>
      <c r="K465" s="10" t="s">
        <v>1933</v>
      </c>
      <c r="L465" s="10" t="n">
        <v>1431</v>
      </c>
      <c r="M465" s="10" t="s">
        <v>1934</v>
      </c>
      <c r="N465" s="10" t="s">
        <v>1935</v>
      </c>
      <c r="O465" s="10" t="e">
        <f aca="false">#error!</f>
        <v>#NAME?</v>
      </c>
      <c r="P465" s="10" t="s">
        <v>1936</v>
      </c>
      <c r="Q465" s="10" t="s">
        <v>1937</v>
      </c>
      <c r="R465" s="10" t="s">
        <v>131</v>
      </c>
      <c r="S465" s="10" t="s">
        <v>131</v>
      </c>
      <c r="T465" s="10" t="s">
        <v>131</v>
      </c>
      <c r="U465" s="10" t="s">
        <v>1938</v>
      </c>
      <c r="V465" s="10" t="n">
        <v>3</v>
      </c>
      <c r="W465" s="10" t="n">
        <v>1</v>
      </c>
      <c r="X465" s="10" t="s">
        <v>71</v>
      </c>
      <c r="Y465" s="10" t="s">
        <v>72</v>
      </c>
      <c r="Z465" s="10" t="s">
        <v>168</v>
      </c>
      <c r="AA465" s="13" t="s">
        <v>1939</v>
      </c>
      <c r="AB465" s="13" t="s">
        <v>1940</v>
      </c>
      <c r="AC465" s="10"/>
      <c r="AD465" s="10"/>
      <c r="AE465" s="10"/>
      <c r="AF465" s="10"/>
    </row>
    <row r="466" customFormat="false" ht="15.75" hidden="false" customHeight="false" outlineLevel="0" collapsed="false">
      <c r="A466" s="11" t="n">
        <v>46127.6369559144</v>
      </c>
      <c r="B466" s="10" t="s">
        <v>1941</v>
      </c>
      <c r="C466" s="10" t="s">
        <v>468</v>
      </c>
      <c r="D466" s="10" t="n">
        <v>51125520</v>
      </c>
      <c r="E466" s="10" t="s">
        <v>107</v>
      </c>
      <c r="F466" s="10" t="s">
        <v>1942</v>
      </c>
      <c r="G466" s="10" t="s">
        <v>1943</v>
      </c>
      <c r="H466" s="10" t="s">
        <v>131</v>
      </c>
      <c r="I466" s="10" t="s">
        <v>82</v>
      </c>
      <c r="J466" s="10" t="s">
        <v>152</v>
      </c>
      <c r="K466" s="10" t="s">
        <v>1944</v>
      </c>
      <c r="L466" s="10" t="n">
        <v>1430</v>
      </c>
      <c r="M466" s="10" t="s">
        <v>1945</v>
      </c>
      <c r="N466" s="10" t="s">
        <v>1941</v>
      </c>
      <c r="O466" s="10" t="n">
        <v>5491160361500</v>
      </c>
      <c r="P466" s="10" t="s">
        <v>1946</v>
      </c>
      <c r="Q466" s="10"/>
      <c r="R466" s="10"/>
      <c r="S466" s="10"/>
      <c r="T466" s="10"/>
      <c r="U466" s="10"/>
      <c r="V466" s="10" t="n">
        <v>3</v>
      </c>
      <c r="W466" s="10" t="n">
        <v>2</v>
      </c>
      <c r="X466" s="10" t="s">
        <v>71</v>
      </c>
      <c r="Y466" s="10" t="s">
        <v>72</v>
      </c>
      <c r="Z466" s="10" t="s">
        <v>168</v>
      </c>
      <c r="AA466" s="13" t="s">
        <v>1947</v>
      </c>
      <c r="AB466" s="13" t="s">
        <v>1948</v>
      </c>
      <c r="AC466" s="10"/>
      <c r="AD466" s="10"/>
      <c r="AE466" s="10"/>
      <c r="AF466" s="10"/>
    </row>
    <row r="467" customFormat="false" ht="15.75" hidden="false" customHeight="false" outlineLevel="0" collapsed="false">
      <c r="A467" s="11" t="n">
        <v>46132.7689078241</v>
      </c>
      <c r="B467" s="10" t="s">
        <v>1949</v>
      </c>
      <c r="C467" s="10" t="s">
        <v>1950</v>
      </c>
      <c r="D467" s="10" t="n">
        <v>50031549</v>
      </c>
      <c r="E467" s="10" t="s">
        <v>107</v>
      </c>
      <c r="F467" s="10" t="s">
        <v>1951</v>
      </c>
      <c r="G467" s="10" t="s">
        <v>1952</v>
      </c>
      <c r="H467" s="10" t="s">
        <v>1953</v>
      </c>
      <c r="I467" s="10" t="s">
        <v>82</v>
      </c>
      <c r="J467" s="10" t="s">
        <v>1954</v>
      </c>
      <c r="K467" s="10" t="s">
        <v>1955</v>
      </c>
      <c r="L467" s="10" t="n">
        <v>1430</v>
      </c>
      <c r="M467" s="10" t="s">
        <v>1956</v>
      </c>
      <c r="N467" s="10" t="s">
        <v>1957</v>
      </c>
      <c r="O467" s="10" t="e">
        <f aca="false">#error!</f>
        <v>#NAME?</v>
      </c>
      <c r="P467" s="10" t="s">
        <v>1958</v>
      </c>
      <c r="Q467" s="10" t="s">
        <v>1959</v>
      </c>
      <c r="R467" s="10" t="s">
        <v>1960</v>
      </c>
      <c r="S467" s="10" t="e">
        <f aca="false">#error!</f>
        <v>#NAME?</v>
      </c>
      <c r="T467" s="10" t="s">
        <v>1953</v>
      </c>
      <c r="U467" s="10" t="s">
        <v>1961</v>
      </c>
      <c r="V467" s="10" t="n">
        <v>4</v>
      </c>
      <c r="W467" s="10" t="n">
        <v>1</v>
      </c>
      <c r="X467" s="10" t="s">
        <v>71</v>
      </c>
      <c r="Y467" s="10" t="s">
        <v>132</v>
      </c>
      <c r="Z467" s="10" t="s">
        <v>103</v>
      </c>
      <c r="AA467" s="13" t="s">
        <v>1962</v>
      </c>
      <c r="AB467" s="13" t="s">
        <v>1948</v>
      </c>
      <c r="AC467" s="10"/>
      <c r="AD467" s="10"/>
      <c r="AE467" s="10"/>
      <c r="AF467" s="10"/>
    </row>
    <row r="468" customFormat="false" ht="15.75" hidden="false" customHeight="false" outlineLevel="0" collapsed="false">
      <c r="A468" s="11" t="n">
        <v>46134.6192875579</v>
      </c>
      <c r="B468" s="10" t="s">
        <v>1963</v>
      </c>
      <c r="C468" s="10" t="s">
        <v>1964</v>
      </c>
      <c r="D468" s="10" t="n">
        <v>50030027</v>
      </c>
      <c r="E468" s="10" t="s">
        <v>107</v>
      </c>
      <c r="F468" s="12" t="n">
        <v>40185</v>
      </c>
      <c r="G468" s="10" t="s">
        <v>1965</v>
      </c>
      <c r="H468" s="10" t="s">
        <v>1966</v>
      </c>
      <c r="I468" s="10" t="s">
        <v>591</v>
      </c>
      <c r="J468" s="10" t="s">
        <v>591</v>
      </c>
      <c r="K468" s="10" t="s">
        <v>1967</v>
      </c>
      <c r="L468" s="10" t="n">
        <v>919</v>
      </c>
      <c r="M468" s="10" t="s">
        <v>1968</v>
      </c>
      <c r="N468" s="10" t="s">
        <v>1969</v>
      </c>
      <c r="O468" s="10" t="e">
        <f aca="false">#error!</f>
        <v>#NAME?</v>
      </c>
      <c r="P468" s="10" t="s">
        <v>1970</v>
      </c>
      <c r="Q468" s="10"/>
      <c r="R468" s="10"/>
      <c r="S468" s="10"/>
      <c r="T468" s="10"/>
      <c r="U468" s="10"/>
      <c r="V468" s="10" t="n">
        <v>4</v>
      </c>
      <c r="W468" s="10" t="n">
        <v>2</v>
      </c>
      <c r="X468" s="10" t="s">
        <v>71</v>
      </c>
      <c r="Y468" s="10" t="s">
        <v>90</v>
      </c>
      <c r="Z468" s="10" t="s">
        <v>1971</v>
      </c>
      <c r="AA468" s="13" t="s">
        <v>1972</v>
      </c>
      <c r="AB468" s="13" t="s">
        <v>1948</v>
      </c>
      <c r="AC468" s="10"/>
      <c r="AD468" s="10"/>
      <c r="AE468" s="10"/>
      <c r="AF468" s="10"/>
    </row>
    <row r="469" customFormat="false" ht="15.75" hidden="false" customHeight="false" outlineLevel="0" collapsed="false">
      <c r="A469" s="11" t="n">
        <v>46134.6147601852</v>
      </c>
      <c r="B469" s="10" t="s">
        <v>1973</v>
      </c>
      <c r="C469" s="10" t="s">
        <v>1974</v>
      </c>
      <c r="D469" s="10" t="n">
        <v>50269586</v>
      </c>
      <c r="E469" s="10" t="s">
        <v>107</v>
      </c>
      <c r="F469" s="10" t="s">
        <v>1975</v>
      </c>
      <c r="G469" s="10" t="s">
        <v>1976</v>
      </c>
      <c r="H469" s="10" t="s">
        <v>1977</v>
      </c>
      <c r="I469" s="10" t="s">
        <v>82</v>
      </c>
      <c r="J469" s="10" t="s">
        <v>1978</v>
      </c>
      <c r="K469" s="10" t="s">
        <v>1979</v>
      </c>
      <c r="L469" s="10" t="n">
        <v>1430</v>
      </c>
      <c r="M469" s="10" t="s">
        <v>602</v>
      </c>
      <c r="N469" s="10" t="s">
        <v>1980</v>
      </c>
      <c r="O469" s="10" t="n">
        <v>1153458264</v>
      </c>
      <c r="P469" s="10" t="s">
        <v>1981</v>
      </c>
      <c r="Q469" s="10"/>
      <c r="R469" s="10"/>
      <c r="S469" s="10"/>
      <c r="T469" s="10"/>
      <c r="U469" s="10"/>
      <c r="V469" s="10" t="n">
        <v>4</v>
      </c>
      <c r="W469" s="10" t="n">
        <v>2</v>
      </c>
      <c r="X469" s="10" t="s">
        <v>71</v>
      </c>
      <c r="Y469" s="10" t="s">
        <v>90</v>
      </c>
      <c r="Z469" s="10" t="s">
        <v>775</v>
      </c>
      <c r="AA469" s="13" t="s">
        <v>1982</v>
      </c>
      <c r="AB469" s="13" t="s">
        <v>1948</v>
      </c>
      <c r="AC469" s="10"/>
      <c r="AD469" s="10"/>
      <c r="AE469" s="10"/>
      <c r="AF469" s="10"/>
    </row>
    <row r="470" customFormat="false" ht="15.75" hidden="false" customHeight="false" outlineLevel="0" collapsed="false">
      <c r="A470" s="11" t="n">
        <v>46117.6934082407</v>
      </c>
      <c r="B470" s="10" t="s">
        <v>1983</v>
      </c>
      <c r="C470" s="10" t="s">
        <v>191</v>
      </c>
      <c r="D470" s="10" t="n">
        <v>52718259</v>
      </c>
      <c r="E470" s="10" t="s">
        <v>107</v>
      </c>
      <c r="F470" s="10" t="s">
        <v>1984</v>
      </c>
      <c r="G470" s="10" t="s">
        <v>1985</v>
      </c>
      <c r="H470" s="10" t="s">
        <v>62</v>
      </c>
      <c r="I470" s="10" t="s">
        <v>228</v>
      </c>
      <c r="J470" s="10" t="s">
        <v>1986</v>
      </c>
      <c r="K470" s="10" t="s">
        <v>1987</v>
      </c>
      <c r="L470" s="10" t="s">
        <v>62</v>
      </c>
      <c r="M470" s="10" t="s">
        <v>62</v>
      </c>
      <c r="N470" s="10" t="s">
        <v>62</v>
      </c>
      <c r="O470" s="10" t="s">
        <v>1988</v>
      </c>
      <c r="P470" s="10" t="s">
        <v>1989</v>
      </c>
      <c r="Q470" s="10" t="s">
        <v>1990</v>
      </c>
      <c r="R470" s="10" t="s">
        <v>1991</v>
      </c>
      <c r="S470" s="10" t="n">
        <v>1155236640</v>
      </c>
      <c r="T470" s="10" t="s">
        <v>62</v>
      </c>
      <c r="U470" s="10" t="s">
        <v>62</v>
      </c>
      <c r="V470" s="10" t="n">
        <v>1</v>
      </c>
      <c r="W470" s="10" t="n">
        <v>2</v>
      </c>
      <c r="X470" s="10" t="s">
        <v>71</v>
      </c>
      <c r="Y470" s="10" t="s">
        <v>72</v>
      </c>
      <c r="Z470" s="10" t="s">
        <v>329</v>
      </c>
      <c r="AA470" s="13" t="s">
        <v>1992</v>
      </c>
      <c r="AB470" s="13" t="s">
        <v>1993</v>
      </c>
      <c r="AC470" s="10"/>
      <c r="AD470" s="10"/>
      <c r="AE470" s="10"/>
      <c r="AF470" s="10"/>
    </row>
    <row r="471" customFormat="false" ht="15.75" hidden="false" customHeight="false" outlineLevel="0" collapsed="false">
      <c r="A471" s="11" t="n">
        <v>46135.3845468403</v>
      </c>
      <c r="B471" s="10" t="s">
        <v>1994</v>
      </c>
      <c r="C471" s="10" t="s">
        <v>1995</v>
      </c>
      <c r="D471" s="10" t="n">
        <v>47065631</v>
      </c>
      <c r="E471" s="10" t="s">
        <v>107</v>
      </c>
      <c r="F471" s="10"/>
      <c r="G471" s="10" t="s">
        <v>1996</v>
      </c>
      <c r="H471" s="10" t="s">
        <v>1997</v>
      </c>
      <c r="I471" s="10" t="s">
        <v>1998</v>
      </c>
      <c r="J471" s="10" t="s">
        <v>1999</v>
      </c>
      <c r="K471" s="10" t="s">
        <v>2000</v>
      </c>
      <c r="L471" s="10" t="n">
        <v>1862</v>
      </c>
      <c r="M471" s="10" t="s">
        <v>2001</v>
      </c>
      <c r="N471" s="10" t="s">
        <v>2002</v>
      </c>
      <c r="O471" s="10" t="n">
        <v>1126684416</v>
      </c>
      <c r="P471" s="10" t="s">
        <v>2003</v>
      </c>
      <c r="Q471" s="10"/>
      <c r="R471" s="10"/>
      <c r="S471" s="10"/>
      <c r="T471" s="10"/>
      <c r="U471" s="10"/>
      <c r="V471" s="10" t="n">
        <v>6</v>
      </c>
      <c r="W471" s="10" t="n">
        <v>1</v>
      </c>
      <c r="X471" s="10" t="s">
        <v>71</v>
      </c>
      <c r="Y471" s="10" t="s">
        <v>132</v>
      </c>
      <c r="Z471" s="10" t="s">
        <v>1816</v>
      </c>
      <c r="AA471" s="13" t="s">
        <v>2004</v>
      </c>
      <c r="AB471" s="13" t="s">
        <v>1993</v>
      </c>
      <c r="AC471" s="10"/>
      <c r="AD471" s="10"/>
      <c r="AE471" s="10"/>
      <c r="AF471" s="10"/>
    </row>
    <row r="472" customFormat="false" ht="15.75" hidden="false" customHeight="false" outlineLevel="0" collapsed="false">
      <c r="A472" s="11" t="n">
        <v>46133.4260581366</v>
      </c>
      <c r="B472" s="10" t="s">
        <v>2005</v>
      </c>
      <c r="C472" s="10" t="s">
        <v>2006</v>
      </c>
      <c r="D472" s="10" t="n">
        <v>49963761</v>
      </c>
      <c r="E472" s="10" t="s">
        <v>107</v>
      </c>
      <c r="F472" s="10" t="s">
        <v>2007</v>
      </c>
      <c r="G472" s="10" t="s">
        <v>2008</v>
      </c>
      <c r="H472" s="10" t="s">
        <v>2009</v>
      </c>
      <c r="I472" s="10" t="s">
        <v>82</v>
      </c>
      <c r="J472" s="10" t="s">
        <v>2010</v>
      </c>
      <c r="K472" s="10" t="s">
        <v>2011</v>
      </c>
      <c r="L472" s="10" t="s">
        <v>2012</v>
      </c>
      <c r="M472" s="10" t="s">
        <v>311</v>
      </c>
      <c r="N472" s="10" t="s">
        <v>2005</v>
      </c>
      <c r="O472" s="10" t="s">
        <v>2013</v>
      </c>
      <c r="P472" s="10" t="s">
        <v>2014</v>
      </c>
      <c r="Q472" s="10"/>
      <c r="R472" s="10"/>
      <c r="S472" s="10"/>
      <c r="T472" s="10"/>
      <c r="U472" s="10"/>
      <c r="V472" s="10" t="n">
        <v>4</v>
      </c>
      <c r="W472" s="10" t="n">
        <v>1</v>
      </c>
      <c r="X472" s="10" t="s">
        <v>71</v>
      </c>
      <c r="Y472" s="10" t="s">
        <v>90</v>
      </c>
      <c r="Z472" s="10" t="s">
        <v>671</v>
      </c>
      <c r="AA472" s="13" t="s">
        <v>2015</v>
      </c>
      <c r="AB472" s="13" t="s">
        <v>1993</v>
      </c>
      <c r="AC472" s="10"/>
      <c r="AD472" s="10"/>
      <c r="AE472" s="10"/>
      <c r="AF472" s="10"/>
    </row>
    <row r="473" customFormat="false" ht="15.75" hidden="false" customHeight="false" outlineLevel="0" collapsed="false">
      <c r="A473" s="11" t="n">
        <v>46133.4111934491</v>
      </c>
      <c r="B473" s="10" t="s">
        <v>2005</v>
      </c>
      <c r="C473" s="10" t="s">
        <v>1245</v>
      </c>
      <c r="D473" s="10" t="n">
        <v>52800077</v>
      </c>
      <c r="E473" s="10" t="s">
        <v>2016</v>
      </c>
      <c r="F473" s="12" t="n">
        <v>40034</v>
      </c>
      <c r="G473" s="10" t="s">
        <v>2017</v>
      </c>
      <c r="H473" s="10" t="s">
        <v>98</v>
      </c>
      <c r="I473" s="10" t="s">
        <v>591</v>
      </c>
      <c r="J473" s="10" t="s">
        <v>152</v>
      </c>
      <c r="K473" s="10" t="s">
        <v>2018</v>
      </c>
      <c r="L473" s="10" t="n">
        <v>1430</v>
      </c>
      <c r="M473" s="10" t="s">
        <v>77</v>
      </c>
      <c r="N473" s="10" t="s">
        <v>2019</v>
      </c>
      <c r="O473" s="10" t="e">
        <f aca="false">#error!</f>
        <v>#NAME?</v>
      </c>
      <c r="P473" s="10" t="s">
        <v>2020</v>
      </c>
      <c r="Q473" s="10"/>
      <c r="R473" s="10"/>
      <c r="S473" s="10"/>
      <c r="T473" s="10"/>
      <c r="U473" s="10"/>
      <c r="V473" s="10" t="n">
        <v>4</v>
      </c>
      <c r="W473" s="10" t="n">
        <v>1</v>
      </c>
      <c r="X473" s="10" t="s">
        <v>71</v>
      </c>
      <c r="Y473" s="10" t="s">
        <v>90</v>
      </c>
      <c r="Z473" s="10" t="s">
        <v>91</v>
      </c>
      <c r="AA473" s="13" t="s">
        <v>2021</v>
      </c>
      <c r="AB473" s="13" t="s">
        <v>1993</v>
      </c>
      <c r="AC473" s="10"/>
      <c r="AD473" s="10"/>
      <c r="AE473" s="10"/>
      <c r="AF473" s="10"/>
    </row>
    <row r="474" customFormat="false" ht="15.75" hidden="false" customHeight="false" outlineLevel="0" collapsed="false">
      <c r="A474" s="11" t="n">
        <v>46135.4497748843</v>
      </c>
      <c r="B474" s="10" t="s">
        <v>2022</v>
      </c>
      <c r="C474" s="10" t="s">
        <v>191</v>
      </c>
      <c r="D474" s="10" t="n">
        <v>48178356</v>
      </c>
      <c r="E474" s="10" t="s">
        <v>107</v>
      </c>
      <c r="F474" s="10" t="s">
        <v>79</v>
      </c>
      <c r="G474" s="10" t="s">
        <v>2023</v>
      </c>
      <c r="H474" s="10" t="s">
        <v>2024</v>
      </c>
      <c r="I474" s="10" t="s">
        <v>591</v>
      </c>
      <c r="J474" s="10" t="s">
        <v>2025</v>
      </c>
      <c r="K474" s="10" t="s">
        <v>2026</v>
      </c>
      <c r="L474" s="10" t="n">
        <v>1429</v>
      </c>
      <c r="M474" s="10" t="s">
        <v>1226</v>
      </c>
      <c r="N474" s="10" t="s">
        <v>1990</v>
      </c>
      <c r="O474" s="10" t="n">
        <v>1139234854</v>
      </c>
      <c r="P474" s="10" t="s">
        <v>2027</v>
      </c>
      <c r="Q474" s="10"/>
      <c r="R474" s="10"/>
      <c r="S474" s="10"/>
      <c r="T474" s="10"/>
      <c r="U474" s="10"/>
      <c r="V474" s="10" t="n">
        <v>6</v>
      </c>
      <c r="W474" s="10" t="n">
        <v>1</v>
      </c>
      <c r="X474" s="10" t="s">
        <v>71</v>
      </c>
      <c r="Y474" s="10" t="s">
        <v>90</v>
      </c>
      <c r="Z474" s="10" t="s">
        <v>1648</v>
      </c>
      <c r="AA474" s="13" t="s">
        <v>2028</v>
      </c>
      <c r="AB474" s="13" t="s">
        <v>1993</v>
      </c>
      <c r="AC474" s="10"/>
      <c r="AD474" s="10"/>
      <c r="AE474" s="10"/>
      <c r="AF474" s="10"/>
    </row>
    <row r="475" customFormat="false" ht="15.75" hidden="false" customHeight="false" outlineLevel="0" collapsed="false">
      <c r="A475" s="11" t="n">
        <v>46217.6879437037</v>
      </c>
      <c r="B475" s="10" t="s">
        <v>2029</v>
      </c>
      <c r="C475" s="10" t="s">
        <v>2030</v>
      </c>
      <c r="D475" s="10" t="s">
        <v>2031</v>
      </c>
      <c r="E475" s="10" t="s">
        <v>107</v>
      </c>
      <c r="F475" s="10" t="n">
        <v>2032012</v>
      </c>
      <c r="G475" s="10" t="s">
        <v>2032</v>
      </c>
      <c r="H475" s="10" t="s">
        <v>2032</v>
      </c>
      <c r="I475" s="10" t="s">
        <v>2033</v>
      </c>
      <c r="J475" s="10" t="s">
        <v>174</v>
      </c>
      <c r="K475" s="10" t="s">
        <v>1902</v>
      </c>
      <c r="L475" s="10" t="n">
        <v>1620</v>
      </c>
      <c r="M475" s="10" t="s">
        <v>2034</v>
      </c>
      <c r="N475" s="10" t="s">
        <v>2029</v>
      </c>
      <c r="O475" s="10" t="s">
        <v>2035</v>
      </c>
      <c r="P475" s="10" t="s">
        <v>2036</v>
      </c>
      <c r="Q475" s="10"/>
      <c r="R475" s="10"/>
      <c r="S475" s="10"/>
      <c r="T475" s="10"/>
      <c r="U475" s="10"/>
      <c r="V475" s="10" t="n">
        <v>2</v>
      </c>
      <c r="W475" s="10" t="n">
        <v>4</v>
      </c>
      <c r="X475" s="10" t="s">
        <v>71</v>
      </c>
      <c r="Y475" s="10" t="s">
        <v>72</v>
      </c>
      <c r="Z475" s="10" t="s">
        <v>103</v>
      </c>
      <c r="AA475" s="13" t="s">
        <v>2037</v>
      </c>
      <c r="AB475" s="13" t="s">
        <v>2038</v>
      </c>
      <c r="AC475" s="10"/>
      <c r="AD475" s="10"/>
      <c r="AE475" s="10"/>
      <c r="AF475" s="10"/>
    </row>
    <row r="476" customFormat="false" ht="15.75" hidden="false" customHeight="false" outlineLevel="0" collapsed="false">
      <c r="A476" s="11" t="n">
        <v>46245.6714271065</v>
      </c>
      <c r="B476" s="10" t="s">
        <v>2039</v>
      </c>
      <c r="C476" s="10" t="s">
        <v>2040</v>
      </c>
      <c r="D476" s="10" t="n">
        <v>95655107</v>
      </c>
      <c r="E476" s="10" t="s">
        <v>2041</v>
      </c>
      <c r="F476" s="10" t="n">
        <v>8092010</v>
      </c>
      <c r="G476" s="10" t="s">
        <v>2042</v>
      </c>
      <c r="H476" s="10" t="s">
        <v>2043</v>
      </c>
      <c r="I476" s="10" t="s">
        <v>82</v>
      </c>
      <c r="J476" s="10" t="s">
        <v>1291</v>
      </c>
      <c r="K476" s="10" t="s">
        <v>2044</v>
      </c>
      <c r="L476" s="10" t="n">
        <v>1430</v>
      </c>
      <c r="M476" s="10" t="s">
        <v>2045</v>
      </c>
      <c r="N476" s="10" t="s">
        <v>2046</v>
      </c>
      <c r="O476" s="10" t="n">
        <v>5491176343921</v>
      </c>
      <c r="P476" s="10" t="s">
        <v>2047</v>
      </c>
      <c r="Q476" s="10"/>
      <c r="R476" s="10"/>
      <c r="S476" s="10"/>
      <c r="T476" s="10"/>
      <c r="U476" s="10" t="s">
        <v>2048</v>
      </c>
      <c r="V476" s="10" t="n">
        <v>3</v>
      </c>
      <c r="W476" s="10" t="n">
        <v>2</v>
      </c>
      <c r="X476" s="10" t="s">
        <v>71</v>
      </c>
      <c r="Y476" s="10" t="s">
        <v>72</v>
      </c>
      <c r="Z476" s="10" t="s">
        <v>168</v>
      </c>
      <c r="AA476" s="13" t="s">
        <v>2049</v>
      </c>
      <c r="AB476" s="13" t="s">
        <v>2050</v>
      </c>
      <c r="AC476" s="10"/>
      <c r="AD476" s="10"/>
      <c r="AE476" s="10"/>
      <c r="AF476" s="10"/>
    </row>
    <row r="477" customFormat="false" ht="15.75" hidden="false" customHeight="false" outlineLevel="0" collapsed="false">
      <c r="A477" s="11" t="n">
        <v>46251.8801103588</v>
      </c>
      <c r="B477" s="10" t="s">
        <v>2051</v>
      </c>
      <c r="C477" s="10" t="s">
        <v>2052</v>
      </c>
      <c r="D477" s="10" t="s">
        <v>2053</v>
      </c>
      <c r="E477" s="10" t="s">
        <v>95</v>
      </c>
      <c r="F477" s="10" t="s">
        <v>2054</v>
      </c>
      <c r="G477" s="10" t="s">
        <v>2055</v>
      </c>
      <c r="H477" s="10" t="s">
        <v>963</v>
      </c>
      <c r="I477" s="10" t="s">
        <v>2056</v>
      </c>
      <c r="J477" s="10" t="s">
        <v>600</v>
      </c>
      <c r="K477" s="10" t="s">
        <v>323</v>
      </c>
      <c r="L477" s="10" t="s">
        <v>323</v>
      </c>
      <c r="M477" s="10" t="s">
        <v>2057</v>
      </c>
      <c r="N477" s="10" t="s">
        <v>323</v>
      </c>
      <c r="O477" s="10" t="n">
        <v>1533963376</v>
      </c>
      <c r="P477" s="10" t="s">
        <v>2058</v>
      </c>
      <c r="Q477" s="10" t="s">
        <v>2059</v>
      </c>
      <c r="R477" s="10" t="s">
        <v>323</v>
      </c>
      <c r="S477" s="10" t="n">
        <v>1525219012</v>
      </c>
      <c r="T477" s="10" t="s">
        <v>323</v>
      </c>
      <c r="U477" s="10"/>
      <c r="V477" s="10" t="n">
        <v>1</v>
      </c>
      <c r="W477" s="10" t="n">
        <v>5</v>
      </c>
      <c r="X477" s="10" t="s">
        <v>71</v>
      </c>
      <c r="Y477" s="10" t="s">
        <v>72</v>
      </c>
      <c r="Z477" s="10" t="s">
        <v>1151</v>
      </c>
      <c r="AA477" s="13" t="s">
        <v>2060</v>
      </c>
      <c r="AB477" s="13" t="s">
        <v>695</v>
      </c>
      <c r="AC477" s="10"/>
      <c r="AD477" s="10"/>
      <c r="AE477" s="10"/>
      <c r="AF477" s="10"/>
    </row>
    <row r="478" customFormat="false" ht="15.75" hidden="false" customHeight="false" outlineLevel="0" collapsed="false">
      <c r="A478" s="11" t="n">
        <v>46251.8801144329</v>
      </c>
      <c r="B478" s="10" t="s">
        <v>2051</v>
      </c>
      <c r="C478" s="10" t="s">
        <v>2052</v>
      </c>
      <c r="D478" s="10" t="s">
        <v>2053</v>
      </c>
      <c r="E478" s="10" t="s">
        <v>95</v>
      </c>
      <c r="F478" s="10" t="s">
        <v>2054</v>
      </c>
      <c r="G478" s="10" t="s">
        <v>2055</v>
      </c>
      <c r="H478" s="10" t="s">
        <v>963</v>
      </c>
      <c r="I478" s="10" t="s">
        <v>2056</v>
      </c>
      <c r="J478" s="10" t="s">
        <v>600</v>
      </c>
      <c r="K478" s="10" t="s">
        <v>323</v>
      </c>
      <c r="L478" s="10" t="s">
        <v>323</v>
      </c>
      <c r="M478" s="10" t="s">
        <v>2057</v>
      </c>
      <c r="N478" s="10" t="s">
        <v>323</v>
      </c>
      <c r="O478" s="10" t="n">
        <v>1533963376</v>
      </c>
      <c r="P478" s="10" t="s">
        <v>2058</v>
      </c>
      <c r="Q478" s="10" t="s">
        <v>2059</v>
      </c>
      <c r="R478" s="10" t="s">
        <v>323</v>
      </c>
      <c r="S478" s="10" t="n">
        <v>1525219012</v>
      </c>
      <c r="T478" s="10" t="s">
        <v>323</v>
      </c>
      <c r="U478" s="10"/>
      <c r="V478" s="10" t="n">
        <v>1</v>
      </c>
      <c r="W478" s="10" t="n">
        <v>5</v>
      </c>
      <c r="X478" s="10" t="s">
        <v>71</v>
      </c>
      <c r="Y478" s="10" t="s">
        <v>72</v>
      </c>
      <c r="Z478" s="10" t="s">
        <v>1151</v>
      </c>
      <c r="AA478" s="13" t="s">
        <v>2060</v>
      </c>
      <c r="AB478" s="13" t="s">
        <v>695</v>
      </c>
      <c r="AC478" s="10"/>
      <c r="AD478" s="10"/>
      <c r="AE478" s="10"/>
      <c r="AF478" s="10"/>
    </row>
    <row r="479" customFormat="false" ht="15.75" hidden="false" customHeight="false" outlineLevel="0" collapsed="false">
      <c r="A479" s="11" t="n">
        <v>46260.6179247569</v>
      </c>
      <c r="B479" s="10" t="s">
        <v>2061</v>
      </c>
      <c r="C479" s="10" t="s">
        <v>191</v>
      </c>
      <c r="D479" s="10" t="n">
        <v>49905564</v>
      </c>
      <c r="E479" s="10" t="s">
        <v>107</v>
      </c>
      <c r="F479" s="12" t="n">
        <v>39883</v>
      </c>
      <c r="G479" s="10" t="s">
        <v>2062</v>
      </c>
      <c r="H479" s="10" t="s">
        <v>2062</v>
      </c>
      <c r="I479" s="10" t="s">
        <v>82</v>
      </c>
      <c r="J479" s="10" t="s">
        <v>1978</v>
      </c>
      <c r="K479" s="10" t="s">
        <v>2063</v>
      </c>
      <c r="L479" s="10" t="n">
        <v>1430</v>
      </c>
      <c r="M479" s="10" t="s">
        <v>2064</v>
      </c>
      <c r="N479" s="10" t="s">
        <v>2065</v>
      </c>
      <c r="O479" s="10" t="n">
        <v>1134941433</v>
      </c>
      <c r="P479" s="10" t="s">
        <v>2066</v>
      </c>
      <c r="Q479" s="10"/>
      <c r="R479" s="10"/>
      <c r="S479" s="10"/>
      <c r="T479" s="10"/>
      <c r="U479" s="10"/>
      <c r="V479" s="10" t="n">
        <v>4</v>
      </c>
      <c r="W479" s="10" t="n">
        <v>2</v>
      </c>
      <c r="X479" s="10" t="s">
        <v>71</v>
      </c>
      <c r="Y479" s="10" t="s">
        <v>90</v>
      </c>
      <c r="Z479" s="10" t="s">
        <v>2067</v>
      </c>
      <c r="AA479" s="13" t="s">
        <v>2068</v>
      </c>
      <c r="AB479" s="13" t="s">
        <v>466</v>
      </c>
      <c r="AC479" s="10"/>
      <c r="AD479" s="10"/>
      <c r="AE479" s="10"/>
      <c r="AF479" s="10"/>
    </row>
    <row r="480" customFormat="false" ht="15.75" hidden="false" customHeight="false" outlineLevel="0" collapsed="false">
      <c r="A480" s="11" t="n">
        <v>46260.6257272685</v>
      </c>
      <c r="B480" s="10" t="s">
        <v>2069</v>
      </c>
      <c r="C480" s="10" t="s">
        <v>2070</v>
      </c>
      <c r="D480" s="10" t="s">
        <v>2071</v>
      </c>
      <c r="E480" s="10" t="s">
        <v>107</v>
      </c>
      <c r="F480" s="12" t="n">
        <v>41489</v>
      </c>
      <c r="G480" s="10" t="s">
        <v>2072</v>
      </c>
      <c r="H480" s="10" t="s">
        <v>2072</v>
      </c>
      <c r="I480" s="10" t="s">
        <v>82</v>
      </c>
      <c r="J480" s="10" t="s">
        <v>82</v>
      </c>
      <c r="K480" s="10" t="s">
        <v>2073</v>
      </c>
      <c r="L480" s="10" t="n">
        <v>1607</v>
      </c>
      <c r="M480" s="10" t="s">
        <v>2074</v>
      </c>
      <c r="N480" s="10" t="s">
        <v>2075</v>
      </c>
      <c r="O480" s="10" t="s">
        <v>2076</v>
      </c>
      <c r="P480" s="10" t="s">
        <v>2077</v>
      </c>
      <c r="Q480" s="10"/>
      <c r="R480" s="10"/>
      <c r="S480" s="10"/>
      <c r="T480" s="10"/>
      <c r="U480" s="10"/>
      <c r="V480" s="10" t="n">
        <v>1</v>
      </c>
      <c r="W480" s="10" t="n">
        <v>7</v>
      </c>
      <c r="X480" s="10" t="s">
        <v>71</v>
      </c>
      <c r="Y480" s="10" t="s">
        <v>72</v>
      </c>
      <c r="Z480" s="10" t="s">
        <v>188</v>
      </c>
      <c r="AA480" s="13" t="s">
        <v>2078</v>
      </c>
      <c r="AB480" s="13" t="s">
        <v>466</v>
      </c>
      <c r="AC480" s="10"/>
      <c r="AD480" s="10"/>
      <c r="AE480" s="10"/>
      <c r="AF480" s="10"/>
    </row>
    <row r="481" customFormat="false" ht="15.75" hidden="false" customHeight="false" outlineLevel="0" collapsed="false">
      <c r="A481" s="11" t="n">
        <v>46260.6317050926</v>
      </c>
      <c r="B481" s="10" t="s">
        <v>2079</v>
      </c>
      <c r="C481" s="10" t="s">
        <v>2080</v>
      </c>
      <c r="D481" s="10" t="s">
        <v>2081</v>
      </c>
      <c r="E481" s="10" t="s">
        <v>107</v>
      </c>
      <c r="F481" s="12" t="n">
        <v>41036</v>
      </c>
      <c r="G481" s="10" t="s">
        <v>2082</v>
      </c>
      <c r="H481" s="10" t="s">
        <v>2083</v>
      </c>
      <c r="I481" s="10" t="s">
        <v>82</v>
      </c>
      <c r="J481" s="10" t="s">
        <v>1978</v>
      </c>
      <c r="K481" s="10" t="s">
        <v>2073</v>
      </c>
      <c r="L481" s="10" t="n">
        <v>1430</v>
      </c>
      <c r="M481" s="10" t="s">
        <v>2084</v>
      </c>
      <c r="N481" s="10" t="s">
        <v>2085</v>
      </c>
      <c r="O481" s="10" t="s">
        <v>2086</v>
      </c>
      <c r="P481" s="10" t="s">
        <v>2087</v>
      </c>
      <c r="Q481" s="10"/>
      <c r="R481" s="10"/>
      <c r="S481" s="10"/>
      <c r="T481" s="10"/>
      <c r="U481" s="10"/>
      <c r="V481" s="10" t="n">
        <v>1</v>
      </c>
      <c r="W481" s="10" t="n">
        <v>7</v>
      </c>
      <c r="X481" s="10" t="s">
        <v>71</v>
      </c>
      <c r="Y481" s="10" t="s">
        <v>72</v>
      </c>
      <c r="Z481" s="10" t="s">
        <v>188</v>
      </c>
      <c r="AA481" s="13" t="s">
        <v>2088</v>
      </c>
      <c r="AB481" s="13" t="s">
        <v>466</v>
      </c>
      <c r="AC481" s="10"/>
      <c r="AD481" s="10"/>
      <c r="AE481" s="10"/>
      <c r="AF481" s="10"/>
    </row>
    <row r="482" customFormat="false" ht="15.75" hidden="false" customHeight="false" outlineLevel="0" collapsed="false">
      <c r="A482" s="11" t="n">
        <v>46260.6365996644</v>
      </c>
      <c r="B482" s="10" t="s">
        <v>2089</v>
      </c>
      <c r="C482" s="10" t="s">
        <v>2090</v>
      </c>
      <c r="D482" s="10" t="s">
        <v>2091</v>
      </c>
      <c r="E482" s="10" t="s">
        <v>107</v>
      </c>
      <c r="F482" s="12" t="n">
        <v>41036</v>
      </c>
      <c r="G482" s="10" t="s">
        <v>2092</v>
      </c>
      <c r="H482" s="10" t="s">
        <v>2092</v>
      </c>
      <c r="I482" s="10" t="s">
        <v>82</v>
      </c>
      <c r="J482" s="10" t="s">
        <v>82</v>
      </c>
      <c r="K482" s="10" t="s">
        <v>2073</v>
      </c>
      <c r="L482" s="10" t="n">
        <v>1430</v>
      </c>
      <c r="M482" s="10" t="s">
        <v>2093</v>
      </c>
      <c r="N482" s="10" t="s">
        <v>2094</v>
      </c>
      <c r="O482" s="10" t="s">
        <v>2095</v>
      </c>
      <c r="P482" s="10" t="s">
        <v>2096</v>
      </c>
      <c r="Q482" s="10"/>
      <c r="R482" s="10"/>
      <c r="S482" s="10"/>
      <c r="T482" s="10"/>
      <c r="U482" s="10"/>
      <c r="V482" s="10" t="n">
        <v>1</v>
      </c>
      <c r="W482" s="10" t="n">
        <v>7</v>
      </c>
      <c r="X482" s="10" t="s">
        <v>71</v>
      </c>
      <c r="Y482" s="10" t="s">
        <v>72</v>
      </c>
      <c r="Z482" s="10" t="s">
        <v>188</v>
      </c>
      <c r="AA482" s="13" t="s">
        <v>2097</v>
      </c>
      <c r="AB482" s="13" t="s">
        <v>1068</v>
      </c>
      <c r="AC482" s="10"/>
      <c r="AD482" s="10"/>
      <c r="AE482" s="10"/>
      <c r="AF482" s="10"/>
    </row>
    <row r="483" customFormat="false" ht="15.75" hidden="false" customHeight="false" outlineLevel="0" collapsed="false">
      <c r="A483" s="11" t="n">
        <v>46260.6408204977</v>
      </c>
      <c r="B483" s="10" t="s">
        <v>2098</v>
      </c>
      <c r="C483" s="10" t="s">
        <v>2099</v>
      </c>
      <c r="D483" s="10" t="s">
        <v>2100</v>
      </c>
      <c r="E483" s="10" t="s">
        <v>2101</v>
      </c>
      <c r="F483" s="12" t="n">
        <v>41491</v>
      </c>
      <c r="G483" s="10" t="s">
        <v>2102</v>
      </c>
      <c r="H483" s="10" t="s">
        <v>2102</v>
      </c>
      <c r="I483" s="10" t="s">
        <v>82</v>
      </c>
      <c r="J483" s="10" t="s">
        <v>528</v>
      </c>
      <c r="K483" s="10" t="s">
        <v>2073</v>
      </c>
      <c r="L483" s="10" t="n">
        <v>1430</v>
      </c>
      <c r="M483" s="10" t="s">
        <v>2103</v>
      </c>
      <c r="N483" s="10" t="s">
        <v>2104</v>
      </c>
      <c r="O483" s="10" t="s">
        <v>2105</v>
      </c>
      <c r="P483" s="10" t="s">
        <v>2106</v>
      </c>
      <c r="Q483" s="10"/>
      <c r="R483" s="10"/>
      <c r="S483" s="10"/>
      <c r="T483" s="10"/>
      <c r="U483" s="10"/>
      <c r="V483" s="10" t="n">
        <v>1</v>
      </c>
      <c r="W483" s="10" t="n">
        <v>7</v>
      </c>
      <c r="X483" s="10" t="s">
        <v>71</v>
      </c>
      <c r="Y483" s="10" t="s">
        <v>72</v>
      </c>
      <c r="Z483" s="10" t="s">
        <v>188</v>
      </c>
      <c r="AA483" s="13" t="s">
        <v>2107</v>
      </c>
      <c r="AB483" s="13" t="s">
        <v>1469</v>
      </c>
      <c r="AC483" s="10"/>
      <c r="AD483" s="10"/>
      <c r="AE483" s="10"/>
      <c r="AF483" s="10"/>
    </row>
    <row r="484" customFormat="false" ht="15.75" hidden="false" customHeight="false" outlineLevel="0" collapsed="false">
      <c r="A484" s="11" t="n">
        <v>46260.6475693519</v>
      </c>
      <c r="B484" s="10" t="s">
        <v>2108</v>
      </c>
      <c r="C484" s="10" t="s">
        <v>2109</v>
      </c>
      <c r="D484" s="10" t="s">
        <v>2110</v>
      </c>
      <c r="E484" s="10" t="s">
        <v>107</v>
      </c>
      <c r="F484" s="10" t="s">
        <v>2111</v>
      </c>
      <c r="G484" s="10" t="s">
        <v>2112</v>
      </c>
      <c r="H484" s="10" t="s">
        <v>2112</v>
      </c>
      <c r="I484" s="10" t="s">
        <v>82</v>
      </c>
      <c r="J484" s="10" t="s">
        <v>1978</v>
      </c>
      <c r="K484" s="10" t="s">
        <v>2073</v>
      </c>
      <c r="L484" s="10" t="n">
        <v>1430</v>
      </c>
      <c r="M484" s="10" t="s">
        <v>2113</v>
      </c>
      <c r="N484" s="10" t="s">
        <v>1897</v>
      </c>
      <c r="O484" s="10" t="s">
        <v>2114</v>
      </c>
      <c r="P484" s="10" t="s">
        <v>2115</v>
      </c>
      <c r="Q484" s="10"/>
      <c r="R484" s="10"/>
      <c r="S484" s="10"/>
      <c r="T484" s="10"/>
      <c r="U484" s="10"/>
      <c r="V484" s="10" t="n">
        <v>1</v>
      </c>
      <c r="W484" s="10" t="n">
        <v>7</v>
      </c>
      <c r="X484" s="10" t="s">
        <v>71</v>
      </c>
      <c r="Y484" s="10" t="s">
        <v>72</v>
      </c>
      <c r="Z484" s="10" t="s">
        <v>188</v>
      </c>
      <c r="AA484" s="13" t="s">
        <v>2116</v>
      </c>
      <c r="AB484" s="13" t="s">
        <v>1680</v>
      </c>
      <c r="AC484" s="10"/>
      <c r="AD484" s="10"/>
      <c r="AE484" s="10"/>
      <c r="AF484" s="10"/>
    </row>
    <row r="485" customFormat="false" ht="15.75" hidden="false" customHeight="false" outlineLevel="0" collapsed="false">
      <c r="A485" s="11" t="n">
        <v>46261.3909289583</v>
      </c>
      <c r="B485" s="10" t="s">
        <v>2117</v>
      </c>
      <c r="C485" s="10" t="s">
        <v>2118</v>
      </c>
      <c r="D485" s="10" t="s">
        <v>2119</v>
      </c>
      <c r="E485" s="10" t="s">
        <v>107</v>
      </c>
      <c r="F485" s="10" t="s">
        <v>2120</v>
      </c>
      <c r="G485" s="10" t="s">
        <v>2121</v>
      </c>
      <c r="H485" s="10" t="s">
        <v>2121</v>
      </c>
      <c r="I485" s="10" t="s">
        <v>82</v>
      </c>
      <c r="J485" s="10" t="s">
        <v>1978</v>
      </c>
      <c r="K485" s="10" t="s">
        <v>2073</v>
      </c>
      <c r="L485" s="10" t="n">
        <v>1430</v>
      </c>
      <c r="M485" s="10" t="s">
        <v>1218</v>
      </c>
      <c r="N485" s="10" t="s">
        <v>2122</v>
      </c>
      <c r="O485" s="10" t="s">
        <v>2123</v>
      </c>
      <c r="P485" s="10" t="s">
        <v>2124</v>
      </c>
      <c r="Q485" s="10" t="s">
        <v>1218</v>
      </c>
      <c r="R485" s="10" t="s">
        <v>2122</v>
      </c>
      <c r="S485" s="10" t="s">
        <v>2123</v>
      </c>
      <c r="T485" s="10" t="s">
        <v>2124</v>
      </c>
      <c r="U485" s="10"/>
      <c r="V485" s="10" t="n">
        <v>1</v>
      </c>
      <c r="W485" s="10" t="n">
        <v>7</v>
      </c>
      <c r="X485" s="10" t="s">
        <v>71</v>
      </c>
      <c r="Y485" s="10" t="s">
        <v>72</v>
      </c>
      <c r="Z485" s="10" t="s">
        <v>188</v>
      </c>
      <c r="AA485" s="13" t="s">
        <v>2125</v>
      </c>
      <c r="AB485" s="13" t="s">
        <v>1805</v>
      </c>
      <c r="AC485" s="10"/>
      <c r="AD485" s="10"/>
      <c r="AE485" s="10"/>
      <c r="AF485" s="10"/>
    </row>
    <row r="486" customFormat="false" ht="15.75" hidden="false" customHeight="false" outlineLevel="0" collapsed="false">
      <c r="A486" s="11" t="n">
        <v>46261.3940653241</v>
      </c>
      <c r="B486" s="10" t="s">
        <v>1359</v>
      </c>
      <c r="C486" s="10" t="s">
        <v>2126</v>
      </c>
      <c r="D486" s="10" t="s">
        <v>2127</v>
      </c>
      <c r="E486" s="10" t="s">
        <v>107</v>
      </c>
      <c r="F486" s="10" t="s">
        <v>2128</v>
      </c>
      <c r="G486" s="10" t="s">
        <v>2129</v>
      </c>
      <c r="H486" s="10" t="s">
        <v>2129</v>
      </c>
      <c r="I486" s="10" t="s">
        <v>82</v>
      </c>
      <c r="J486" s="10" t="s">
        <v>1978</v>
      </c>
      <c r="K486" s="10" t="s">
        <v>2073</v>
      </c>
      <c r="L486" s="10" t="n">
        <v>1430</v>
      </c>
      <c r="M486" s="10" t="s">
        <v>936</v>
      </c>
      <c r="N486" s="10" t="s">
        <v>1897</v>
      </c>
      <c r="O486" s="10" t="s">
        <v>2130</v>
      </c>
      <c r="P486" s="10" t="s">
        <v>1903</v>
      </c>
      <c r="Q486" s="10"/>
      <c r="R486" s="10"/>
      <c r="S486" s="10"/>
      <c r="T486" s="10"/>
      <c r="U486" s="10"/>
      <c r="V486" s="10" t="n">
        <v>1</v>
      </c>
      <c r="W486" s="10" t="n">
        <v>7</v>
      </c>
      <c r="X486" s="10" t="s">
        <v>71</v>
      </c>
      <c r="Y486" s="10" t="s">
        <v>72</v>
      </c>
      <c r="Z486" s="10" t="s">
        <v>188</v>
      </c>
      <c r="AA486" s="13" t="s">
        <v>2131</v>
      </c>
      <c r="AB486" s="13" t="s">
        <v>2132</v>
      </c>
      <c r="AC486" s="10"/>
      <c r="AD486" s="10"/>
      <c r="AE486" s="10"/>
      <c r="AF486" s="10"/>
    </row>
    <row r="487" customFormat="false" ht="15.75" hidden="false" customHeight="false" outlineLevel="0" collapsed="false">
      <c r="A487" s="11" t="n">
        <v>46261.4058853357</v>
      </c>
      <c r="B487" s="10" t="s">
        <v>2133</v>
      </c>
      <c r="C487" s="10" t="s">
        <v>2134</v>
      </c>
      <c r="D487" s="10" t="s">
        <v>2135</v>
      </c>
      <c r="E487" s="10" t="s">
        <v>107</v>
      </c>
      <c r="F487" s="12" t="n">
        <v>40950</v>
      </c>
      <c r="G487" s="10" t="s">
        <v>2136</v>
      </c>
      <c r="H487" s="10" t="s">
        <v>2136</v>
      </c>
      <c r="I487" s="10" t="s">
        <v>82</v>
      </c>
      <c r="J487" s="10" t="s">
        <v>174</v>
      </c>
      <c r="K487" s="10" t="s">
        <v>2073</v>
      </c>
      <c r="L487" s="10" t="n">
        <v>1430</v>
      </c>
      <c r="M487" s="10" t="s">
        <v>2137</v>
      </c>
      <c r="N487" s="10" t="s">
        <v>2138</v>
      </c>
      <c r="O487" s="10" t="s">
        <v>2139</v>
      </c>
      <c r="P487" s="10" t="s">
        <v>2140</v>
      </c>
      <c r="Q487" s="10"/>
      <c r="R487" s="10"/>
      <c r="S487" s="10"/>
      <c r="T487" s="10"/>
      <c r="U487" s="10"/>
      <c r="V487" s="10" t="n">
        <v>1</v>
      </c>
      <c r="W487" s="10" t="n">
        <v>7</v>
      </c>
      <c r="X487" s="10" t="s">
        <v>71</v>
      </c>
      <c r="Y487" s="10" t="s">
        <v>72</v>
      </c>
      <c r="Z487" s="10" t="s">
        <v>188</v>
      </c>
      <c r="AA487" s="13" t="s">
        <v>2141</v>
      </c>
      <c r="AB487" s="13" t="s">
        <v>1805</v>
      </c>
      <c r="AC487" s="10"/>
      <c r="AD487" s="10"/>
      <c r="AE487" s="10"/>
      <c r="AF487" s="10"/>
    </row>
    <row r="488" customFormat="false" ht="15.75" hidden="false" customHeight="false" outlineLevel="0" collapsed="false">
      <c r="A488" s="11" t="n">
        <v>46261.8831648032</v>
      </c>
      <c r="B488" s="10" t="s">
        <v>1109</v>
      </c>
      <c r="C488" s="10" t="s">
        <v>2142</v>
      </c>
      <c r="D488" s="10" t="n">
        <v>47804353</v>
      </c>
      <c r="E488" s="10" t="s">
        <v>215</v>
      </c>
      <c r="F488" s="10" t="s">
        <v>2143</v>
      </c>
      <c r="G488" s="10" t="s">
        <v>2144</v>
      </c>
      <c r="H488" s="10" t="s">
        <v>2145</v>
      </c>
      <c r="I488" s="10" t="s">
        <v>347</v>
      </c>
      <c r="J488" s="10" t="s">
        <v>2146</v>
      </c>
      <c r="K488" s="10" t="s">
        <v>2147</v>
      </c>
      <c r="L488" s="10" t="s">
        <v>2148</v>
      </c>
      <c r="M488" s="10" t="s">
        <v>2149</v>
      </c>
      <c r="N488" s="10" t="s">
        <v>2150</v>
      </c>
      <c r="O488" s="10" t="n">
        <v>1154932953</v>
      </c>
      <c r="P488" s="10" t="s">
        <v>2151</v>
      </c>
      <c r="Q488" s="10"/>
      <c r="R488" s="10"/>
      <c r="S488" s="10"/>
      <c r="T488" s="10"/>
      <c r="U488" s="10"/>
      <c r="V488" s="10" t="n">
        <v>3</v>
      </c>
      <c r="W488" s="10" t="n">
        <v>4</v>
      </c>
      <c r="X488" s="10" t="s">
        <v>198</v>
      </c>
      <c r="Y488" s="10" t="s">
        <v>72</v>
      </c>
      <c r="Z488" s="10" t="s">
        <v>383</v>
      </c>
      <c r="AA488" s="13" t="s">
        <v>2152</v>
      </c>
      <c r="AB488" s="13" t="s">
        <v>1068</v>
      </c>
      <c r="AC488" s="10"/>
      <c r="AD488" s="10"/>
      <c r="AE488" s="10"/>
      <c r="AF488" s="10"/>
    </row>
    <row r="489" customFormat="false" ht="15.75" hidden="false" customHeight="false" outlineLevel="0" collapsed="false">
      <c r="A489" s="11" t="n">
        <v>46265.6742736343</v>
      </c>
      <c r="B489" s="10" t="s">
        <v>2153</v>
      </c>
      <c r="C489" s="10" t="s">
        <v>2154</v>
      </c>
      <c r="D489" s="10" t="s">
        <v>2155</v>
      </c>
      <c r="E489" s="10" t="s">
        <v>107</v>
      </c>
      <c r="F489" s="10" t="s">
        <v>2156</v>
      </c>
      <c r="G489" s="10" t="s">
        <v>2157</v>
      </c>
      <c r="H489" s="10" t="s">
        <v>2157</v>
      </c>
      <c r="I489" s="10" t="s">
        <v>82</v>
      </c>
      <c r="J489" s="10" t="s">
        <v>2158</v>
      </c>
      <c r="K489" s="10" t="s">
        <v>2159</v>
      </c>
      <c r="L489" s="10" t="n">
        <v>1430</v>
      </c>
      <c r="M489" s="10" t="s">
        <v>2160</v>
      </c>
      <c r="N489" s="10" t="s">
        <v>2153</v>
      </c>
      <c r="O489" s="10" t="s">
        <v>2161</v>
      </c>
      <c r="P489" s="10" t="s">
        <v>2162</v>
      </c>
      <c r="Q489" s="10"/>
      <c r="R489" s="10"/>
      <c r="S489" s="10"/>
      <c r="T489" s="10"/>
      <c r="U489" s="10"/>
      <c r="V489" s="10" t="n">
        <v>3</v>
      </c>
      <c r="W489" s="10" t="n">
        <v>2</v>
      </c>
      <c r="X489" s="10" t="s">
        <v>71</v>
      </c>
      <c r="Y489" s="10" t="s">
        <v>72</v>
      </c>
      <c r="Z489" s="10" t="s">
        <v>319</v>
      </c>
      <c r="AA489" s="13" t="s">
        <v>2163</v>
      </c>
      <c r="AB489" s="13" t="s">
        <v>2050</v>
      </c>
      <c r="AC489" s="10"/>
      <c r="AD489" s="10"/>
      <c r="AE489" s="10"/>
      <c r="AF489" s="10"/>
    </row>
    <row r="490" customFormat="false" ht="15.75" hidden="false" customHeight="false" outlineLevel="0" collapsed="false">
      <c r="A490" s="11" t="n">
        <v>46265.6844306713</v>
      </c>
      <c r="B490" s="10" t="s">
        <v>2164</v>
      </c>
      <c r="C490" s="10" t="s">
        <v>2165</v>
      </c>
      <c r="D490" s="10" t="s">
        <v>2166</v>
      </c>
      <c r="E490" s="10" t="s">
        <v>107</v>
      </c>
      <c r="F490" s="10" t="s">
        <v>2167</v>
      </c>
      <c r="G490" s="10" t="s">
        <v>2168</v>
      </c>
      <c r="H490" s="10" t="s">
        <v>2168</v>
      </c>
      <c r="I490" s="10" t="s">
        <v>82</v>
      </c>
      <c r="J490" s="10" t="s">
        <v>82</v>
      </c>
      <c r="K490" s="10" t="s">
        <v>2169</v>
      </c>
      <c r="L490" s="10" t="n">
        <v>1430</v>
      </c>
      <c r="M490" s="10" t="s">
        <v>2170</v>
      </c>
      <c r="N490" s="10" t="s">
        <v>1359</v>
      </c>
      <c r="O490" s="10" t="n">
        <v>1135859066</v>
      </c>
      <c r="P490" s="10" t="s">
        <v>2171</v>
      </c>
      <c r="Q490" s="10"/>
      <c r="R490" s="10"/>
      <c r="S490" s="10"/>
      <c r="T490" s="10"/>
      <c r="U490" s="10"/>
      <c r="V490" s="10" t="n">
        <v>4</v>
      </c>
      <c r="W490" s="10" t="n">
        <v>2</v>
      </c>
      <c r="X490" s="10" t="s">
        <v>71</v>
      </c>
      <c r="Y490" s="10" t="s">
        <v>90</v>
      </c>
      <c r="Z490" s="10" t="s">
        <v>1971</v>
      </c>
      <c r="AA490" s="13" t="s">
        <v>2172</v>
      </c>
      <c r="AB490" s="13" t="s">
        <v>2173</v>
      </c>
      <c r="AC490" s="10"/>
      <c r="AD490" s="10"/>
      <c r="AE490" s="10"/>
      <c r="AF490" s="10"/>
    </row>
    <row r="491" customFormat="false" ht="15.75" hidden="false" customHeight="false" outlineLevel="0" collapsed="false">
      <c r="A491" s="11" t="n">
        <v>46269.8032493866</v>
      </c>
      <c r="B491" s="10" t="s">
        <v>2174</v>
      </c>
      <c r="C491" s="10" t="s">
        <v>2175</v>
      </c>
      <c r="D491" s="10" t="n">
        <v>95945082</v>
      </c>
      <c r="E491" s="10" t="s">
        <v>2176</v>
      </c>
      <c r="F491" s="12" t="n">
        <v>39879</v>
      </c>
      <c r="G491" s="10" t="s">
        <v>2177</v>
      </c>
      <c r="H491" s="10" t="s">
        <v>2178</v>
      </c>
      <c r="I491" s="10" t="s">
        <v>82</v>
      </c>
      <c r="J491" s="10" t="s">
        <v>2158</v>
      </c>
      <c r="K491" s="10" t="s">
        <v>2179</v>
      </c>
      <c r="L491" s="10" t="n">
        <v>1430</v>
      </c>
      <c r="M491" s="10" t="s">
        <v>2180</v>
      </c>
      <c r="N491" s="10" t="s">
        <v>2181</v>
      </c>
      <c r="O491" s="10" t="n">
        <v>1131445450</v>
      </c>
      <c r="P491" s="10" t="s">
        <v>2182</v>
      </c>
      <c r="Q491" s="10"/>
      <c r="R491" s="10"/>
      <c r="S491" s="10"/>
      <c r="T491" s="10"/>
      <c r="U491" s="10" t="s">
        <v>1119</v>
      </c>
      <c r="V491" s="10" t="n">
        <v>3</v>
      </c>
      <c r="W491" s="10" t="n">
        <v>4</v>
      </c>
      <c r="X491" s="10" t="s">
        <v>198</v>
      </c>
      <c r="Y491" s="10" t="s">
        <v>72</v>
      </c>
      <c r="Z491" s="10" t="s">
        <v>976</v>
      </c>
      <c r="AA491" s="13" t="s">
        <v>2183</v>
      </c>
      <c r="AB491" s="13" t="s">
        <v>1068</v>
      </c>
      <c r="AC491" s="10"/>
      <c r="AD491" s="10"/>
      <c r="AE491" s="10"/>
      <c r="AF491" s="10"/>
    </row>
    <row r="492" customFormat="false" ht="15.75" hidden="false" customHeight="false" outlineLevel="0" collapsed="false">
      <c r="A492" s="11" t="n">
        <v>46269.8222861921</v>
      </c>
      <c r="B492" s="10" t="s">
        <v>2184</v>
      </c>
      <c r="C492" s="10" t="s">
        <v>2185</v>
      </c>
      <c r="D492" s="10" t="n">
        <v>47432189</v>
      </c>
      <c r="E492" s="10" t="s">
        <v>107</v>
      </c>
      <c r="F492" s="12" t="n">
        <v>39061</v>
      </c>
      <c r="G492" s="10" t="s">
        <v>2186</v>
      </c>
      <c r="H492" s="10" t="s">
        <v>2187</v>
      </c>
      <c r="I492" s="10" t="s">
        <v>82</v>
      </c>
      <c r="J492" s="10" t="s">
        <v>2158</v>
      </c>
      <c r="K492" s="10" t="s">
        <v>2188</v>
      </c>
      <c r="L492" s="10" t="n">
        <v>1419</v>
      </c>
      <c r="M492" s="10" t="s">
        <v>2189</v>
      </c>
      <c r="N492" s="10" t="s">
        <v>2190</v>
      </c>
      <c r="O492" s="10" t="n">
        <v>1122761153</v>
      </c>
      <c r="P492" s="10" t="s">
        <v>2191</v>
      </c>
      <c r="Q492" s="10"/>
      <c r="R492" s="10"/>
      <c r="S492" s="10"/>
      <c r="T492" s="10"/>
      <c r="U492" s="10" t="s">
        <v>1119</v>
      </c>
      <c r="V492" s="10" t="n">
        <v>3</v>
      </c>
      <c r="W492" s="10" t="n">
        <v>4</v>
      </c>
      <c r="X492" s="10" t="s">
        <v>198</v>
      </c>
      <c r="Y492" s="10" t="s">
        <v>72</v>
      </c>
      <c r="Z492" s="10" t="s">
        <v>2192</v>
      </c>
      <c r="AA492" s="13" t="s">
        <v>2193</v>
      </c>
      <c r="AB492" s="13" t="s">
        <v>2194</v>
      </c>
      <c r="AC492" s="10"/>
      <c r="AD492" s="10"/>
      <c r="AE492" s="10"/>
      <c r="AF492" s="10"/>
    </row>
    <row r="493" customFormat="false" ht="15.75" hidden="false" customHeight="false" outlineLevel="0" collapsed="false">
      <c r="A493" s="11" t="n">
        <v>46269.8685291204</v>
      </c>
      <c r="B493" s="10" t="s">
        <v>445</v>
      </c>
      <c r="C493" s="10" t="s">
        <v>224</v>
      </c>
      <c r="D493" s="10" t="n">
        <v>49744446</v>
      </c>
      <c r="E493" s="10" t="s">
        <v>107</v>
      </c>
      <c r="F493" s="10" t="s">
        <v>2195</v>
      </c>
      <c r="G493" s="10" t="s">
        <v>2196</v>
      </c>
      <c r="H493" s="10" t="s">
        <v>2197</v>
      </c>
      <c r="I493" s="10" t="s">
        <v>242</v>
      </c>
      <c r="J493" s="10" t="s">
        <v>2198</v>
      </c>
      <c r="K493" s="10" t="s">
        <v>2199</v>
      </c>
      <c r="L493" s="10" t="n">
        <v>1605</v>
      </c>
      <c r="M493" s="10" t="s">
        <v>2200</v>
      </c>
      <c r="N493" s="10" t="s">
        <v>2201</v>
      </c>
      <c r="O493" s="10" t="n">
        <v>1132655156</v>
      </c>
      <c r="P493" s="10" t="s">
        <v>453</v>
      </c>
      <c r="Q493" s="10"/>
      <c r="R493" s="10"/>
      <c r="S493" s="10"/>
      <c r="T493" s="10"/>
      <c r="U493" s="10" t="s">
        <v>1119</v>
      </c>
      <c r="V493" s="10" t="n">
        <v>3</v>
      </c>
      <c r="W493" s="10" t="n">
        <v>4</v>
      </c>
      <c r="X493" s="10" t="s">
        <v>198</v>
      </c>
      <c r="Y493" s="10" t="s">
        <v>72</v>
      </c>
      <c r="Z493" s="10" t="s">
        <v>2192</v>
      </c>
      <c r="AA493" s="13" t="s">
        <v>2202</v>
      </c>
      <c r="AB493" s="13" t="s">
        <v>75</v>
      </c>
      <c r="AC493" s="10"/>
      <c r="AD493" s="10"/>
      <c r="AE493" s="10"/>
      <c r="AF493" s="10"/>
    </row>
    <row r="494" customFormat="false" ht="15.75" hidden="false" customHeight="false" outlineLevel="0" collapsed="false">
      <c r="A494" s="11" t="n">
        <v>46269.8723184607</v>
      </c>
      <c r="B494" s="10" t="s">
        <v>2203</v>
      </c>
      <c r="C494" s="10" t="s">
        <v>2204</v>
      </c>
      <c r="D494" s="10" t="n">
        <v>49553756</v>
      </c>
      <c r="E494" s="10" t="s">
        <v>107</v>
      </c>
      <c r="F494" s="10" t="s">
        <v>2205</v>
      </c>
      <c r="G494" s="10" t="s">
        <v>2206</v>
      </c>
      <c r="H494" s="10" t="s">
        <v>2207</v>
      </c>
      <c r="I494" s="10" t="s">
        <v>82</v>
      </c>
      <c r="J494" s="10" t="s">
        <v>2158</v>
      </c>
      <c r="K494" s="10" t="s">
        <v>2208</v>
      </c>
      <c r="L494" s="10" t="n">
        <v>1430</v>
      </c>
      <c r="M494" s="10" t="s">
        <v>2209</v>
      </c>
      <c r="N494" s="10" t="s">
        <v>2210</v>
      </c>
      <c r="O494" s="10" t="n">
        <v>1135103571</v>
      </c>
      <c r="P494" s="10" t="s">
        <v>2211</v>
      </c>
      <c r="Q494" s="10"/>
      <c r="R494" s="10"/>
      <c r="S494" s="10"/>
      <c r="T494" s="10"/>
      <c r="U494" s="10"/>
      <c r="V494" s="10" t="n">
        <v>3</v>
      </c>
      <c r="W494" s="10" t="n">
        <v>4</v>
      </c>
      <c r="X494" s="10" t="s">
        <v>198</v>
      </c>
      <c r="Y494" s="10" t="s">
        <v>72</v>
      </c>
      <c r="Z494" s="10" t="s">
        <v>2192</v>
      </c>
      <c r="AA494" s="13" t="s">
        <v>2212</v>
      </c>
      <c r="AB494" s="13" t="s">
        <v>466</v>
      </c>
      <c r="AC494" s="10"/>
      <c r="AD494" s="10"/>
      <c r="AE494" s="10"/>
      <c r="AF494" s="10"/>
    </row>
    <row r="495" customFormat="false" ht="15.75" hidden="false" customHeight="false" outlineLevel="0" collapsed="false">
      <c r="A495" s="11" t="n">
        <v>46269.8837673843</v>
      </c>
      <c r="B495" s="10" t="s">
        <v>2213</v>
      </c>
      <c r="C495" s="10" t="s">
        <v>2214</v>
      </c>
      <c r="D495" s="10" t="n">
        <v>49890447</v>
      </c>
      <c r="E495" s="10" t="s">
        <v>107</v>
      </c>
      <c r="F495" s="10" t="s">
        <v>2215</v>
      </c>
      <c r="G495" s="10" t="s">
        <v>2216</v>
      </c>
      <c r="H495" s="10" t="s">
        <v>2217</v>
      </c>
      <c r="I495" s="10" t="s">
        <v>63</v>
      </c>
      <c r="J495" s="10" t="s">
        <v>2218</v>
      </c>
      <c r="K495" s="10" t="s">
        <v>2219</v>
      </c>
      <c r="L495" s="10" t="n">
        <v>1416</v>
      </c>
      <c r="M495" s="10" t="s">
        <v>2220</v>
      </c>
      <c r="N495" s="10" t="s">
        <v>2221</v>
      </c>
      <c r="O495" s="10" t="n">
        <v>1157296956</v>
      </c>
      <c r="P495" s="10" t="s">
        <v>2222</v>
      </c>
      <c r="Q495" s="10"/>
      <c r="R495" s="10"/>
      <c r="S495" s="10"/>
      <c r="T495" s="10"/>
      <c r="U495" s="10"/>
      <c r="V495" s="10" t="n">
        <v>3</v>
      </c>
      <c r="W495" s="10" t="n">
        <v>4</v>
      </c>
      <c r="X495" s="10" t="s">
        <v>198</v>
      </c>
      <c r="Y495" s="10" t="s">
        <v>72</v>
      </c>
      <c r="Z495" s="10" t="s">
        <v>2223</v>
      </c>
      <c r="AA495" s="13" t="s">
        <v>2224</v>
      </c>
      <c r="AB495" s="13" t="s">
        <v>695</v>
      </c>
      <c r="AC495" s="10"/>
      <c r="AD495" s="10"/>
      <c r="AE495" s="10"/>
      <c r="AF495" s="10"/>
    </row>
    <row r="496" customFormat="false" ht="15.75" hidden="false" customHeight="false" outlineLevel="0" collapsed="false">
      <c r="A496" s="11" t="n">
        <v>46269.8974547338</v>
      </c>
      <c r="B496" s="10" t="s">
        <v>2225</v>
      </c>
      <c r="C496" s="10" t="s">
        <v>2226</v>
      </c>
      <c r="D496" s="10" t="n">
        <v>47649620</v>
      </c>
      <c r="E496" s="10" t="s">
        <v>107</v>
      </c>
      <c r="F496" s="12" t="n">
        <v>112408</v>
      </c>
      <c r="G496" s="10" t="s">
        <v>2227</v>
      </c>
      <c r="H496" s="10" t="s">
        <v>2228</v>
      </c>
      <c r="I496" s="10" t="s">
        <v>2229</v>
      </c>
      <c r="J496" s="10" t="s">
        <v>2230</v>
      </c>
      <c r="K496" s="10" t="s">
        <v>2231</v>
      </c>
      <c r="L496" s="10" t="n">
        <v>1651</v>
      </c>
      <c r="M496" s="10" t="s">
        <v>2232</v>
      </c>
      <c r="N496" s="10" t="s">
        <v>2233</v>
      </c>
      <c r="O496" s="10" t="n">
        <v>1139375867</v>
      </c>
      <c r="P496" s="10" t="s">
        <v>2234</v>
      </c>
      <c r="Q496" s="10"/>
      <c r="R496" s="10"/>
      <c r="S496" s="10"/>
      <c r="T496" s="10"/>
      <c r="U496" s="10"/>
      <c r="V496" s="10" t="n">
        <v>3</v>
      </c>
      <c r="W496" s="10" t="n">
        <v>4</v>
      </c>
      <c r="X496" s="10" t="s">
        <v>198</v>
      </c>
      <c r="Y496" s="10" t="s">
        <v>72</v>
      </c>
      <c r="Z496" s="10" t="s">
        <v>976</v>
      </c>
      <c r="AA496" s="13" t="s">
        <v>2235</v>
      </c>
      <c r="AB496" s="13" t="s">
        <v>695</v>
      </c>
      <c r="AC496" s="10"/>
      <c r="AD496" s="10"/>
      <c r="AE496" s="10"/>
      <c r="AF496" s="10"/>
    </row>
    <row r="497" customFormat="false" ht="15.75" hidden="false" customHeight="false" outlineLevel="0" collapsed="false">
      <c r="A497" s="11" t="n">
        <v>46273.8058779398</v>
      </c>
      <c r="B497" s="10" t="s">
        <v>2236</v>
      </c>
      <c r="C497" s="10" t="s">
        <v>2237</v>
      </c>
      <c r="D497" s="10" t="n">
        <v>50156161</v>
      </c>
      <c r="E497" s="10" t="s">
        <v>107</v>
      </c>
      <c r="F497" s="10" t="s">
        <v>2238</v>
      </c>
      <c r="G497" s="10" t="s">
        <v>2239</v>
      </c>
      <c r="H497" s="10" t="s">
        <v>2240</v>
      </c>
      <c r="I497" s="10" t="s">
        <v>82</v>
      </c>
      <c r="J497" s="10" t="s">
        <v>2158</v>
      </c>
      <c r="K497" s="10" t="s">
        <v>2241</v>
      </c>
      <c r="L497" s="10" t="n">
        <v>1431</v>
      </c>
      <c r="M497" s="10" t="s">
        <v>2242</v>
      </c>
      <c r="N497" s="10" t="s">
        <v>710</v>
      </c>
      <c r="O497" s="10" t="n">
        <v>1165870622</v>
      </c>
      <c r="P497" s="10" t="s">
        <v>2243</v>
      </c>
      <c r="Q497" s="10"/>
      <c r="R497" s="10"/>
      <c r="S497" s="10"/>
      <c r="T497" s="10"/>
      <c r="U497" s="10"/>
      <c r="V497" s="10" t="n">
        <v>3</v>
      </c>
      <c r="W497" s="10" t="n">
        <v>4</v>
      </c>
      <c r="X497" s="10" t="s">
        <v>198</v>
      </c>
      <c r="Y497" s="10" t="s">
        <v>72</v>
      </c>
      <c r="Z497" s="10" t="s">
        <v>976</v>
      </c>
      <c r="AA497" s="13" t="s">
        <v>2244</v>
      </c>
      <c r="AB497" s="13" t="s">
        <v>695</v>
      </c>
      <c r="AC497" s="10"/>
      <c r="AD497" s="10"/>
      <c r="AE497" s="10"/>
      <c r="AF497" s="10"/>
    </row>
    <row r="498" customFormat="false" ht="15.75" hidden="false" customHeight="false" outlineLevel="0" collapsed="false">
      <c r="A498" s="11" t="n">
        <v>46273.8149551042</v>
      </c>
      <c r="B498" s="10" t="s">
        <v>2245</v>
      </c>
      <c r="C498" s="10" t="s">
        <v>2246</v>
      </c>
      <c r="D498" s="10" t="n">
        <v>50357436</v>
      </c>
      <c r="E498" s="10" t="s">
        <v>107</v>
      </c>
      <c r="F498" s="12" t="n">
        <v>40186</v>
      </c>
      <c r="G498" s="10" t="s">
        <v>2247</v>
      </c>
      <c r="H498" s="10" t="s">
        <v>2248</v>
      </c>
      <c r="I498" s="10" t="s">
        <v>2229</v>
      </c>
      <c r="J498" s="10" t="s">
        <v>2158</v>
      </c>
      <c r="K498" s="10" t="s">
        <v>2249</v>
      </c>
      <c r="L498" s="10" t="n">
        <v>1426</v>
      </c>
      <c r="M498" s="10" t="s">
        <v>2250</v>
      </c>
      <c r="N498" s="10" t="s">
        <v>2251</v>
      </c>
      <c r="O498" s="10" t="n">
        <v>1168000024</v>
      </c>
      <c r="P498" s="10" t="s">
        <v>2252</v>
      </c>
      <c r="Q498" s="10"/>
      <c r="R498" s="10"/>
      <c r="S498" s="10"/>
      <c r="T498" s="10"/>
      <c r="U498" s="10"/>
      <c r="V498" s="10" t="n">
        <v>3</v>
      </c>
      <c r="W498" s="10" t="n">
        <v>4</v>
      </c>
      <c r="X498" s="10" t="s">
        <v>198</v>
      </c>
      <c r="Y498" s="10" t="s">
        <v>72</v>
      </c>
      <c r="Z498" s="10" t="s">
        <v>2253</v>
      </c>
      <c r="AA498" s="13" t="s">
        <v>2254</v>
      </c>
      <c r="AB498" s="13" t="s">
        <v>695</v>
      </c>
      <c r="AC498" s="10"/>
      <c r="AD498" s="10"/>
      <c r="AE498" s="10"/>
      <c r="AF498" s="10"/>
    </row>
    <row r="499" customFormat="false" ht="15.75" hidden="false" customHeight="false" outlineLevel="0" collapsed="false">
      <c r="A499" s="11" t="n">
        <v>46273.8150005787</v>
      </c>
      <c r="B499" s="10" t="s">
        <v>2245</v>
      </c>
      <c r="C499" s="10" t="s">
        <v>2246</v>
      </c>
      <c r="D499" s="10" t="n">
        <v>50357436</v>
      </c>
      <c r="E499" s="10" t="s">
        <v>107</v>
      </c>
      <c r="F499" s="12" t="n">
        <v>40186</v>
      </c>
      <c r="G499" s="10" t="s">
        <v>2247</v>
      </c>
      <c r="H499" s="10" t="s">
        <v>2248</v>
      </c>
      <c r="I499" s="10" t="s">
        <v>2229</v>
      </c>
      <c r="J499" s="10" t="s">
        <v>2158</v>
      </c>
      <c r="K499" s="10" t="s">
        <v>2249</v>
      </c>
      <c r="L499" s="10" t="n">
        <v>1426</v>
      </c>
      <c r="M499" s="10" t="s">
        <v>2250</v>
      </c>
      <c r="N499" s="10" t="s">
        <v>2251</v>
      </c>
      <c r="O499" s="10" t="n">
        <v>1168000024</v>
      </c>
      <c r="P499" s="10" t="s">
        <v>2252</v>
      </c>
      <c r="Q499" s="10"/>
      <c r="R499" s="10"/>
      <c r="S499" s="10"/>
      <c r="T499" s="10"/>
      <c r="U499" s="10"/>
      <c r="V499" s="10" t="n">
        <v>3</v>
      </c>
      <c r="W499" s="10" t="n">
        <v>4</v>
      </c>
      <c r="X499" s="10" t="s">
        <v>198</v>
      </c>
      <c r="Y499" s="10" t="s">
        <v>72</v>
      </c>
      <c r="Z499" s="10" t="s">
        <v>2253</v>
      </c>
      <c r="AA499" s="13" t="s">
        <v>2254</v>
      </c>
      <c r="AB499" s="13" t="s">
        <v>695</v>
      </c>
      <c r="AC499" s="10"/>
      <c r="AD499" s="10"/>
      <c r="AE499" s="10"/>
      <c r="AF499" s="10"/>
    </row>
    <row r="500" customFormat="false" ht="15.75" hidden="false" customHeight="false" outlineLevel="0" collapsed="false">
      <c r="A500" s="11" t="n">
        <v>46280.5818661227</v>
      </c>
      <c r="B500" s="10" t="s">
        <v>2255</v>
      </c>
      <c r="C500" s="10" t="s">
        <v>2256</v>
      </c>
      <c r="D500" s="10" t="n">
        <v>50584721</v>
      </c>
      <c r="E500" s="10" t="s">
        <v>293</v>
      </c>
      <c r="F500" s="12" t="n">
        <v>40522</v>
      </c>
      <c r="G500" s="10" t="s">
        <v>2257</v>
      </c>
      <c r="H500" s="10" t="s">
        <v>2258</v>
      </c>
      <c r="I500" s="10" t="s">
        <v>63</v>
      </c>
      <c r="J500" s="10" t="s">
        <v>2259</v>
      </c>
      <c r="K500" s="10" t="s">
        <v>2260</v>
      </c>
      <c r="L500" s="10" t="n">
        <v>1430</v>
      </c>
      <c r="M500" s="10" t="s">
        <v>191</v>
      </c>
      <c r="N500" s="10" t="s">
        <v>2261</v>
      </c>
      <c r="O500" s="10" t="e">
        <f aca="false">#error!</f>
        <v>#NAME?</v>
      </c>
      <c r="P500" s="10" t="s">
        <v>2262</v>
      </c>
      <c r="Q500" s="10" t="s">
        <v>2263</v>
      </c>
      <c r="R500" s="10" t="s">
        <v>2264</v>
      </c>
      <c r="S500" s="10" t="e">
        <f aca="false">#error!</f>
        <v>#NAME?</v>
      </c>
      <c r="T500" s="10" t="s">
        <v>2265</v>
      </c>
      <c r="U500" s="10"/>
      <c r="V500" s="10" t="n">
        <v>3</v>
      </c>
      <c r="W500" s="10" t="n">
        <v>2</v>
      </c>
      <c r="X500" s="10" t="s">
        <v>71</v>
      </c>
      <c r="Y500" s="10" t="s">
        <v>72</v>
      </c>
      <c r="Z500" s="10" t="s">
        <v>168</v>
      </c>
      <c r="AA500" s="13" t="s">
        <v>2266</v>
      </c>
      <c r="AB500" s="13" t="s">
        <v>2050</v>
      </c>
      <c r="AC500" s="10"/>
      <c r="AD500" s="10"/>
      <c r="AE500" s="10"/>
      <c r="AF500" s="10"/>
    </row>
    <row r="501" customFormat="false" ht="15.75" hidden="false" customHeight="false" outlineLevel="0" collapsed="false">
      <c r="A501" s="11" t="n">
        <v>46288.3870673032</v>
      </c>
      <c r="B501" s="10" t="s">
        <v>2267</v>
      </c>
      <c r="C501" s="10" t="s">
        <v>555</v>
      </c>
      <c r="D501" s="10" t="n">
        <v>49735997</v>
      </c>
      <c r="E501" s="10" t="s">
        <v>95</v>
      </c>
      <c r="F501" s="10" t="s">
        <v>2268</v>
      </c>
      <c r="G501" s="10" t="s">
        <v>2269</v>
      </c>
      <c r="H501" s="10" t="s">
        <v>963</v>
      </c>
      <c r="I501" s="10" t="s">
        <v>1550</v>
      </c>
      <c r="J501" s="10" t="s">
        <v>162</v>
      </c>
      <c r="K501" s="10" t="s">
        <v>2270</v>
      </c>
      <c r="L501" s="10" t="n">
        <v>0</v>
      </c>
      <c r="M501" s="10" t="s">
        <v>2271</v>
      </c>
      <c r="N501" s="10" t="s">
        <v>2272</v>
      </c>
      <c r="O501" s="10" t="n">
        <v>1534099558</v>
      </c>
      <c r="P501" s="10" t="s">
        <v>2273</v>
      </c>
      <c r="Q501" s="10" t="s">
        <v>2274</v>
      </c>
      <c r="R501" s="10" t="s">
        <v>2275</v>
      </c>
      <c r="S501" s="10" t="n">
        <v>59899466356</v>
      </c>
      <c r="T501" s="10"/>
      <c r="U501" s="10"/>
      <c r="V501" s="10" t="n">
        <v>4</v>
      </c>
      <c r="W501" s="10" t="n">
        <v>1</v>
      </c>
      <c r="X501" s="10" t="s">
        <v>71</v>
      </c>
      <c r="Y501" s="10" t="s">
        <v>90</v>
      </c>
      <c r="Z501" s="10" t="s">
        <v>618</v>
      </c>
      <c r="AA501" s="13" t="s">
        <v>2276</v>
      </c>
      <c r="AB501" s="13" t="s">
        <v>2277</v>
      </c>
      <c r="AC501" s="10"/>
      <c r="AD501" s="10"/>
      <c r="AE501" s="10"/>
      <c r="AF501" s="10"/>
    </row>
    <row r="502" customFormat="false" ht="15.75" hidden="false" customHeight="false" outlineLevel="0" collapsed="false">
      <c r="A502" s="11" t="n">
        <v>46127.6876009607</v>
      </c>
      <c r="B502" s="10" t="s">
        <v>2278</v>
      </c>
      <c r="C502" s="10" t="s">
        <v>2279</v>
      </c>
      <c r="D502" s="10" t="s">
        <v>2280</v>
      </c>
      <c r="E502" s="10" t="s">
        <v>2281</v>
      </c>
      <c r="F502" s="10" t="s">
        <v>2282</v>
      </c>
      <c r="G502" s="10" t="s">
        <v>2283</v>
      </c>
      <c r="H502" s="10" t="s">
        <v>963</v>
      </c>
      <c r="I502" s="10" t="s">
        <v>864</v>
      </c>
      <c r="J502" s="10" t="s">
        <v>864</v>
      </c>
      <c r="K502" s="10" t="s">
        <v>864</v>
      </c>
      <c r="L502" s="10" t="s">
        <v>2284</v>
      </c>
      <c r="M502" s="10" t="s">
        <v>2285</v>
      </c>
      <c r="N502" s="10" t="s">
        <v>2285</v>
      </c>
      <c r="O502" s="10" t="n">
        <v>1151332602</v>
      </c>
      <c r="P502" s="10" t="s">
        <v>2286</v>
      </c>
      <c r="Q502" s="10" t="s">
        <v>2287</v>
      </c>
      <c r="R502" s="10" t="s">
        <v>2288</v>
      </c>
      <c r="S502" s="10" t="s">
        <v>2289</v>
      </c>
      <c r="T502" s="10" t="s">
        <v>2290</v>
      </c>
      <c r="U502" s="10"/>
      <c r="V502" s="10" t="n">
        <v>3</v>
      </c>
      <c r="W502" s="10" t="n">
        <v>2</v>
      </c>
      <c r="X502" s="10" t="s">
        <v>71</v>
      </c>
      <c r="Y502" s="10" t="s">
        <v>72</v>
      </c>
      <c r="Z502" s="10" t="s">
        <v>73</v>
      </c>
      <c r="AA502" s="13" t="s">
        <v>2291</v>
      </c>
      <c r="AB502" s="13" t="s">
        <v>2292</v>
      </c>
      <c r="AC502" s="10"/>
      <c r="AD502" s="10"/>
      <c r="AE502" s="10"/>
      <c r="AF502" s="10"/>
    </row>
    <row r="503" customFormat="false" ht="15.75" hidden="false" customHeight="fals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</row>
    <row r="504" customFormat="false" ht="15.75" hidden="false" customHeight="false" outlineLevel="0" collapsed="false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</row>
    <row r="505" customFormat="false" ht="15.75" hidden="false" customHeight="false" outlineLevel="0" collapsed="false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</row>
    <row r="506" customFormat="false" ht="15.75" hidden="false" customHeight="false" outlineLevel="0" collapsed="false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</row>
    <row r="507" customFormat="false" ht="15.75" hidden="false" customHeight="false" outlineLevel="0" collapsed="false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</row>
    <row r="508" customFormat="false" ht="15.75" hidden="false" customHeight="false" outlineLevel="0" collapsed="false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</row>
    <row r="509" customFormat="false" ht="15.75" hidden="false" customHeight="false" outlineLevel="0" collapsed="false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</row>
    <row r="510" customFormat="false" ht="15.75" hidden="false" customHeight="false" outlineLevel="0" collapsed="false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</row>
    <row r="511" customFormat="false" ht="15.75" hidden="false" customHeight="false" outlineLevel="0" collapsed="false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</row>
    <row r="512" customFormat="false" ht="15.75" hidden="false" customHeight="false" outlineLevel="0" collapsed="false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</row>
    <row r="513" customFormat="false" ht="15.75" hidden="false" customHeight="false" outlineLevel="0" collapsed="false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</row>
    <row r="514" customFormat="false" ht="15.75" hidden="false" customHeight="false" outlineLevel="0" collapsed="false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</row>
    <row r="515" customFormat="false" ht="15.75" hidden="false" customHeight="false" outlineLevel="0" collapsed="false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</row>
    <row r="516" customFormat="false" ht="15.75" hidden="false" customHeight="false" outlineLevel="0" collapsed="false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</row>
    <row r="517" customFormat="false" ht="15.75" hidden="false" customHeight="false" outlineLevel="0" collapsed="false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</row>
    <row r="518" customFormat="false" ht="15.75" hidden="false" customHeight="false" outlineLevel="0" collapsed="false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</row>
    <row r="519" customFormat="false" ht="15.75" hidden="false" customHeight="false" outlineLevel="0" collapsed="false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</row>
    <row r="520" customFormat="false" ht="15.75" hidden="false" customHeight="false" outlineLevel="0" collapsed="false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</row>
    <row r="521" customFormat="false" ht="15.75" hidden="false" customHeight="false" outlineLevel="0" collapsed="false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</row>
    <row r="522" customFormat="false" ht="15.75" hidden="false" customHeight="false" outlineLevel="0" collapsed="false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</row>
    <row r="523" customFormat="false" ht="15.75" hidden="false" customHeight="false" outlineLevel="0" collapsed="false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</row>
    <row r="524" customFormat="false" ht="15.75" hidden="false" customHeight="false" outlineLevel="0" collapsed="false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</row>
    <row r="525" customFormat="false" ht="15.75" hidden="false" customHeight="false" outlineLevel="0" collapsed="false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</row>
    <row r="526" customFormat="false" ht="15.75" hidden="false" customHeight="false" outlineLevel="0" collapsed="false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</row>
    <row r="527" customFormat="false" ht="15.75" hidden="false" customHeight="false" outlineLevel="0" collapsed="false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</row>
    <row r="528" customFormat="false" ht="15.75" hidden="false" customHeight="false" outlineLevel="0" collapsed="false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</row>
    <row r="529" customFormat="false" ht="15.75" hidden="false" customHeight="false" outlineLevel="0" collapsed="false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</row>
    <row r="530" customFormat="false" ht="15.75" hidden="false" customHeight="false" outlineLevel="0" collapsed="false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</row>
    <row r="531" customFormat="false" ht="15.75" hidden="false" customHeight="false" outlineLevel="0" collapsed="false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</row>
    <row r="532" customFormat="false" ht="15.75" hidden="false" customHeight="false" outlineLevel="0" collapsed="false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</row>
    <row r="533" customFormat="false" ht="15.75" hidden="false" customHeight="false" outlineLevel="0" collapsed="false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</row>
    <row r="534" customFormat="false" ht="15.75" hidden="false" customHeight="false" outlineLevel="0" collapsed="false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</row>
    <row r="535" customFormat="false" ht="15.75" hidden="false" customHeight="false" outlineLevel="0" collapsed="false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</row>
    <row r="536" customFormat="false" ht="15.75" hidden="false" customHeight="false" outlineLevel="0" collapsed="false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</row>
    <row r="537" customFormat="false" ht="15.75" hidden="false" customHeight="false" outlineLevel="0" collapsed="false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</row>
    <row r="538" customFormat="false" ht="15.75" hidden="false" customHeight="false" outlineLevel="0" collapsed="false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</row>
    <row r="539" customFormat="false" ht="15.75" hidden="false" customHeight="false" outlineLevel="0" collapsed="false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</row>
    <row r="540" customFormat="false" ht="15.75" hidden="false" customHeight="false" outlineLevel="0" collapsed="false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</row>
    <row r="541" customFormat="false" ht="15.75" hidden="false" customHeight="false" outlineLevel="0" collapsed="false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</row>
    <row r="542" customFormat="false" ht="15.75" hidden="false" customHeight="false" outlineLevel="0" collapsed="false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</row>
    <row r="543" customFormat="false" ht="15.75" hidden="false" customHeight="false" outlineLevel="0" collapsed="false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</row>
    <row r="544" customFormat="false" ht="15.75" hidden="false" customHeight="false" outlineLevel="0" collapsed="false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</row>
    <row r="545" customFormat="false" ht="15.75" hidden="false" customHeight="false" outlineLevel="0" collapsed="false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</row>
    <row r="546" customFormat="false" ht="15.75" hidden="false" customHeight="false" outlineLevel="0" collapsed="false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</row>
    <row r="547" customFormat="false" ht="15.75" hidden="false" customHeight="false" outlineLevel="0" collapsed="false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</row>
    <row r="548" customFormat="false" ht="15.75" hidden="false" customHeight="false" outlineLevel="0" collapsed="false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</row>
    <row r="549" customFormat="false" ht="15.75" hidden="false" customHeight="false" outlineLevel="0" collapsed="false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</row>
    <row r="550" customFormat="false" ht="15.75" hidden="false" customHeight="false" outlineLevel="0" collapsed="false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</row>
    <row r="551" customFormat="false" ht="15.75" hidden="false" customHeight="false" outlineLevel="0" collapsed="false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</row>
    <row r="552" customFormat="false" ht="15.75" hidden="false" customHeight="false" outlineLevel="0" collapsed="false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</row>
    <row r="553" customFormat="false" ht="15.75" hidden="false" customHeight="false" outlineLevel="0" collapsed="false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</row>
    <row r="554" customFormat="false" ht="15.75" hidden="false" customHeight="false" outlineLevel="0" collapsed="false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</row>
    <row r="555" customFormat="false" ht="15.75" hidden="false" customHeight="false" outlineLevel="0" collapsed="false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</row>
    <row r="556" customFormat="false" ht="15.75" hidden="false" customHeight="false" outlineLevel="0" collapsed="false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</row>
    <row r="557" customFormat="false" ht="15.75" hidden="false" customHeight="false" outlineLevel="0" collapsed="false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</row>
    <row r="558" customFormat="false" ht="15.75" hidden="false" customHeight="false" outlineLevel="0" collapsed="false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</row>
    <row r="559" customFormat="false" ht="15.75" hidden="false" customHeight="false" outlineLevel="0" collapsed="false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</row>
    <row r="560" customFormat="false" ht="15.75" hidden="false" customHeight="false" outlineLevel="0" collapsed="false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</row>
    <row r="561" customFormat="false" ht="15.75" hidden="false" customHeight="false" outlineLevel="0" collapsed="false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</row>
    <row r="562" customFormat="false" ht="15.75" hidden="false" customHeight="false" outlineLevel="0" collapsed="false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</row>
    <row r="563" customFormat="false" ht="15.75" hidden="false" customHeight="false" outlineLevel="0" collapsed="false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</row>
    <row r="564" customFormat="false" ht="15.75" hidden="false" customHeight="false" outlineLevel="0" collapsed="false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</row>
    <row r="565" customFormat="false" ht="15.75" hidden="false" customHeight="false" outlineLevel="0" collapsed="false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</row>
    <row r="566" customFormat="false" ht="15.75" hidden="false" customHeight="false" outlineLevel="0" collapsed="false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</row>
    <row r="567" customFormat="false" ht="15.75" hidden="false" customHeight="false" outlineLevel="0" collapsed="false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</row>
    <row r="568" customFormat="false" ht="15.75" hidden="false" customHeight="false" outlineLevel="0" collapsed="false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</row>
    <row r="569" customFormat="false" ht="15.75" hidden="false" customHeight="false" outlineLevel="0" collapsed="false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</row>
    <row r="570" customFormat="false" ht="15.75" hidden="false" customHeight="false" outlineLevel="0" collapsed="false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</row>
    <row r="571" customFormat="false" ht="15.75" hidden="false" customHeight="false" outlineLevel="0" collapsed="false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</row>
    <row r="572" customFormat="false" ht="15.75" hidden="false" customHeight="false" outlineLevel="0" collapsed="false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</row>
    <row r="573" customFormat="false" ht="15.75" hidden="false" customHeight="false" outlineLevel="0" collapsed="false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</row>
    <row r="574" customFormat="false" ht="15.75" hidden="false" customHeight="false" outlineLevel="0" collapsed="false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</row>
    <row r="575" customFormat="false" ht="15.75" hidden="false" customHeight="false" outlineLevel="0" collapsed="false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</row>
    <row r="576" customFormat="false" ht="15.75" hidden="false" customHeight="false" outlineLevel="0" collapsed="false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</row>
    <row r="577" customFormat="false" ht="15.75" hidden="false" customHeight="false" outlineLevel="0" collapsed="false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</row>
    <row r="578" customFormat="false" ht="15.75" hidden="false" customHeight="false" outlineLevel="0" collapsed="false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</row>
    <row r="579" customFormat="false" ht="15.75" hidden="false" customHeight="false" outlineLevel="0" collapsed="false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</row>
    <row r="580" customFormat="false" ht="15.75" hidden="false" customHeight="false" outlineLevel="0" collapsed="false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</row>
    <row r="581" customFormat="false" ht="15.75" hidden="false" customHeight="false" outlineLevel="0" collapsed="false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</row>
    <row r="582" customFormat="false" ht="15.75" hidden="false" customHeight="false" outlineLevel="0" collapsed="false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</row>
    <row r="583" customFormat="false" ht="15.75" hidden="false" customHeight="false" outlineLevel="0" collapsed="false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</row>
    <row r="584" customFormat="false" ht="15.75" hidden="false" customHeight="false" outlineLevel="0" collapsed="false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</row>
    <row r="585" customFormat="false" ht="15.75" hidden="false" customHeight="false" outlineLevel="0" collapsed="false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</row>
    <row r="586" customFormat="false" ht="15.75" hidden="false" customHeight="false" outlineLevel="0" collapsed="false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</row>
    <row r="587" customFormat="false" ht="15.75" hidden="false" customHeight="false" outlineLevel="0" collapsed="false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</row>
    <row r="588" customFormat="false" ht="15.75" hidden="false" customHeight="false" outlineLevel="0" collapsed="false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</row>
    <row r="589" customFormat="false" ht="15.75" hidden="false" customHeight="false" outlineLevel="0" collapsed="false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</row>
    <row r="590" customFormat="false" ht="15.75" hidden="false" customHeight="false" outlineLevel="0" collapsed="false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</row>
    <row r="591" customFormat="false" ht="15.75" hidden="false" customHeight="false" outlineLevel="0" collapsed="false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</row>
    <row r="592" customFormat="false" ht="15.75" hidden="false" customHeight="false" outlineLevel="0" collapsed="false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</row>
    <row r="593" customFormat="false" ht="15.75" hidden="false" customHeight="false" outlineLevel="0" collapsed="false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</row>
    <row r="594" customFormat="false" ht="15.75" hidden="false" customHeight="false" outlineLevel="0" collapsed="false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</row>
    <row r="595" customFormat="false" ht="15.75" hidden="false" customHeight="false" outlineLevel="0" collapsed="false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</row>
    <row r="596" customFormat="false" ht="15.75" hidden="false" customHeight="false" outlineLevel="0" collapsed="false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</row>
    <row r="597" customFormat="false" ht="15.75" hidden="false" customHeight="false" outlineLevel="0" collapsed="false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</row>
    <row r="598" customFormat="false" ht="15.75" hidden="false" customHeight="false" outlineLevel="0" collapsed="false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</row>
    <row r="599" customFormat="false" ht="15.75" hidden="false" customHeight="false" outlineLevel="0" collapsed="false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</row>
    <row r="600" customFormat="false" ht="15.75" hidden="false" customHeight="false" outlineLevel="0" collapsed="false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</row>
    <row r="601" customFormat="false" ht="15.75" hidden="false" customHeight="false" outlineLevel="0" collapsed="false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</row>
    <row r="602" customFormat="false" ht="15.75" hidden="false" customHeight="false" outlineLevel="0" collapsed="false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</row>
    <row r="603" customFormat="false" ht="15.75" hidden="false" customHeight="false" outlineLevel="0" collapsed="false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</row>
    <row r="604" customFormat="false" ht="15.75" hidden="false" customHeight="false" outlineLevel="0" collapsed="false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</row>
    <row r="605" customFormat="false" ht="15.75" hidden="false" customHeight="false" outlineLevel="0" collapsed="false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</row>
    <row r="606" customFormat="false" ht="15.75" hidden="false" customHeight="false" outlineLevel="0" collapsed="false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</row>
    <row r="607" customFormat="false" ht="15.75" hidden="false" customHeight="false" outlineLevel="0" collapsed="false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</row>
    <row r="608" customFormat="false" ht="15.75" hidden="false" customHeight="false" outlineLevel="0" collapsed="false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</row>
    <row r="609" customFormat="false" ht="15.75" hidden="false" customHeight="false" outlineLevel="0" collapsed="false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</row>
    <row r="610" customFormat="false" ht="15.75" hidden="false" customHeight="false" outlineLevel="0" collapsed="false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</row>
    <row r="611" customFormat="false" ht="15.75" hidden="false" customHeight="false" outlineLevel="0" collapsed="false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</row>
    <row r="612" customFormat="false" ht="15.75" hidden="false" customHeight="false" outlineLevel="0" collapsed="false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</row>
    <row r="613" customFormat="false" ht="15.75" hidden="false" customHeight="false" outlineLevel="0" collapsed="false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</row>
    <row r="614" customFormat="false" ht="15.75" hidden="false" customHeight="false" outlineLevel="0" collapsed="false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</row>
    <row r="615" customFormat="false" ht="15.75" hidden="false" customHeight="false" outlineLevel="0" collapsed="false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</row>
    <row r="616" customFormat="false" ht="15.75" hidden="false" customHeight="false" outlineLevel="0" collapsed="false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</row>
    <row r="617" customFormat="false" ht="15.75" hidden="false" customHeight="false" outlineLevel="0" collapsed="false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</row>
    <row r="618" customFormat="false" ht="15.75" hidden="false" customHeight="false" outlineLevel="0" collapsed="false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</row>
    <row r="619" customFormat="false" ht="15.75" hidden="false" customHeight="false" outlineLevel="0" collapsed="false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</row>
    <row r="620" customFormat="false" ht="15.75" hidden="false" customHeight="false" outlineLevel="0" collapsed="false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</row>
    <row r="621" customFormat="false" ht="15.75" hidden="false" customHeight="false" outlineLevel="0" collapsed="false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</row>
    <row r="622" customFormat="false" ht="15.75" hidden="false" customHeight="false" outlineLevel="0" collapsed="false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</row>
    <row r="623" customFormat="false" ht="15.75" hidden="false" customHeight="false" outlineLevel="0" collapsed="false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</row>
    <row r="624" customFormat="false" ht="15.75" hidden="false" customHeight="false" outlineLevel="0" collapsed="false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</row>
    <row r="625" customFormat="false" ht="15.75" hidden="false" customHeight="false" outlineLevel="0" collapsed="false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</row>
    <row r="626" customFormat="false" ht="15.75" hidden="false" customHeight="false" outlineLevel="0" collapsed="false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</row>
    <row r="627" customFormat="false" ht="15.75" hidden="false" customHeight="false" outlineLevel="0" collapsed="false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</row>
    <row r="628" customFormat="false" ht="15.75" hidden="false" customHeight="false" outlineLevel="0" collapsed="false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</row>
    <row r="629" customFormat="false" ht="15.75" hidden="false" customHeight="false" outlineLevel="0" collapsed="false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</row>
    <row r="630" customFormat="false" ht="15.75" hidden="false" customHeight="false" outlineLevel="0" collapsed="false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</row>
    <row r="631" customFormat="false" ht="15.75" hidden="false" customHeight="false" outlineLevel="0" collapsed="false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</row>
    <row r="632" customFormat="false" ht="15.75" hidden="false" customHeight="false" outlineLevel="0" collapsed="false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</row>
    <row r="633" customFormat="false" ht="15.75" hidden="false" customHeight="false" outlineLevel="0" collapsed="false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</row>
    <row r="634" customFormat="false" ht="15.75" hidden="false" customHeight="false" outlineLevel="0" collapsed="false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</row>
    <row r="635" customFormat="false" ht="15.75" hidden="false" customHeight="false" outlineLevel="0" collapsed="false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</row>
    <row r="636" customFormat="false" ht="15.75" hidden="false" customHeight="false" outlineLevel="0" collapsed="false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</row>
    <row r="637" customFormat="false" ht="15.75" hidden="false" customHeight="false" outlineLevel="0" collapsed="false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</row>
    <row r="638" customFormat="false" ht="15.75" hidden="false" customHeight="false" outlineLevel="0" collapsed="false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</row>
    <row r="639" customFormat="false" ht="15.75" hidden="false" customHeight="false" outlineLevel="0" collapsed="false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</row>
    <row r="640" customFormat="false" ht="15.75" hidden="false" customHeight="false" outlineLevel="0" collapsed="false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</row>
    <row r="641" customFormat="false" ht="15.75" hidden="false" customHeight="false" outlineLevel="0" collapsed="false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</row>
    <row r="642" customFormat="false" ht="15.75" hidden="false" customHeight="false" outlineLevel="0" collapsed="false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</row>
    <row r="643" customFormat="false" ht="15.75" hidden="false" customHeight="false" outlineLevel="0" collapsed="false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</row>
    <row r="644" customFormat="false" ht="15.75" hidden="false" customHeight="false" outlineLevel="0" collapsed="false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</row>
    <row r="645" customFormat="false" ht="15.75" hidden="false" customHeight="false" outlineLevel="0" collapsed="false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</row>
    <row r="646" customFormat="false" ht="15.75" hidden="false" customHeight="false" outlineLevel="0" collapsed="false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</row>
    <row r="647" customFormat="false" ht="15.75" hidden="false" customHeight="false" outlineLevel="0" collapsed="false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</row>
    <row r="648" customFormat="false" ht="15.75" hidden="false" customHeight="false" outlineLevel="0" collapsed="false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</row>
    <row r="649" customFormat="false" ht="15.75" hidden="false" customHeight="false" outlineLevel="0" collapsed="false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</row>
    <row r="650" customFormat="false" ht="15.75" hidden="false" customHeight="false" outlineLevel="0" collapsed="false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</row>
    <row r="651" customFormat="false" ht="15.75" hidden="false" customHeight="false" outlineLevel="0" collapsed="false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</row>
    <row r="652" customFormat="false" ht="15.75" hidden="false" customHeight="false" outlineLevel="0" collapsed="false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</row>
    <row r="653" customFormat="false" ht="15.75" hidden="false" customHeight="false" outlineLevel="0" collapsed="false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</row>
    <row r="654" customFormat="false" ht="15.75" hidden="false" customHeight="false" outlineLevel="0" collapsed="false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</row>
    <row r="655" customFormat="false" ht="15.75" hidden="false" customHeight="false" outlineLevel="0" collapsed="false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</row>
    <row r="656" customFormat="false" ht="15.75" hidden="false" customHeight="false" outlineLevel="0" collapsed="false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</row>
    <row r="657" customFormat="false" ht="15.75" hidden="false" customHeight="false" outlineLevel="0" collapsed="false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</row>
    <row r="658" customFormat="false" ht="15.75" hidden="false" customHeight="false" outlineLevel="0" collapsed="false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</row>
    <row r="659" customFormat="false" ht="15.75" hidden="false" customHeight="false" outlineLevel="0" collapsed="false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</row>
    <row r="660" customFormat="false" ht="15.75" hidden="false" customHeight="false" outlineLevel="0" collapsed="false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</row>
    <row r="661" customFormat="false" ht="15.75" hidden="false" customHeight="false" outlineLevel="0" collapsed="false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</row>
    <row r="662" customFormat="false" ht="15.75" hidden="false" customHeight="false" outlineLevel="0" collapsed="false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</row>
    <row r="663" customFormat="false" ht="15.75" hidden="false" customHeight="false" outlineLevel="0" collapsed="false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</row>
    <row r="664" customFormat="false" ht="15.75" hidden="false" customHeight="false" outlineLevel="0" collapsed="false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</row>
    <row r="665" customFormat="false" ht="15.75" hidden="false" customHeight="false" outlineLevel="0" collapsed="false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</row>
    <row r="666" customFormat="false" ht="15.75" hidden="false" customHeight="false" outlineLevel="0" collapsed="false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</row>
    <row r="667" customFormat="false" ht="15.75" hidden="false" customHeight="false" outlineLevel="0" collapsed="false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</row>
    <row r="668" customFormat="false" ht="15.75" hidden="false" customHeight="false" outlineLevel="0" collapsed="false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</row>
    <row r="669" customFormat="false" ht="15.75" hidden="false" customHeight="false" outlineLevel="0" collapsed="false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</row>
    <row r="670" customFormat="false" ht="15.75" hidden="false" customHeight="false" outlineLevel="0" collapsed="false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</row>
    <row r="671" customFormat="false" ht="15.75" hidden="false" customHeight="false" outlineLevel="0" collapsed="false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</row>
    <row r="672" customFormat="false" ht="15.75" hidden="false" customHeight="false" outlineLevel="0" collapsed="false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</row>
    <row r="673" customFormat="false" ht="15.75" hidden="false" customHeight="false" outlineLevel="0" collapsed="false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</row>
    <row r="674" customFormat="false" ht="15.75" hidden="false" customHeight="false" outlineLevel="0" collapsed="false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</row>
    <row r="675" customFormat="false" ht="15.75" hidden="false" customHeight="false" outlineLevel="0" collapsed="false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</row>
    <row r="676" customFormat="false" ht="15.75" hidden="false" customHeight="false" outlineLevel="0" collapsed="false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</row>
    <row r="677" customFormat="false" ht="15.75" hidden="false" customHeight="false" outlineLevel="0" collapsed="false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</row>
    <row r="678" customFormat="false" ht="15.75" hidden="false" customHeight="false" outlineLevel="0" collapsed="false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</row>
    <row r="679" customFormat="false" ht="15.75" hidden="false" customHeight="false" outlineLevel="0" collapsed="false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</row>
    <row r="680" customFormat="false" ht="15.75" hidden="false" customHeight="false" outlineLevel="0" collapsed="false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</row>
    <row r="681" customFormat="false" ht="15.75" hidden="false" customHeight="false" outlineLevel="0" collapsed="false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</row>
    <row r="682" customFormat="false" ht="15.75" hidden="false" customHeight="false" outlineLevel="0" collapsed="false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</row>
    <row r="683" customFormat="false" ht="15.75" hidden="false" customHeight="false" outlineLevel="0" collapsed="false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</row>
    <row r="684" customFormat="false" ht="15.75" hidden="false" customHeight="false" outlineLevel="0" collapsed="false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</row>
    <row r="685" customFormat="false" ht="15.75" hidden="false" customHeight="false" outlineLevel="0" collapsed="false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</row>
    <row r="686" customFormat="false" ht="15.75" hidden="false" customHeight="false" outlineLevel="0" collapsed="false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</row>
    <row r="687" customFormat="false" ht="15.75" hidden="false" customHeight="false" outlineLevel="0" collapsed="false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</row>
    <row r="688" customFormat="false" ht="15.75" hidden="false" customHeight="false" outlineLevel="0" collapsed="false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</row>
    <row r="689" customFormat="false" ht="15.75" hidden="false" customHeight="false" outlineLevel="0" collapsed="false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</row>
    <row r="690" customFormat="false" ht="15.75" hidden="false" customHeight="false" outlineLevel="0" collapsed="false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</row>
    <row r="691" customFormat="false" ht="15.75" hidden="false" customHeight="false" outlineLevel="0" collapsed="false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</row>
    <row r="692" customFormat="false" ht="15.75" hidden="false" customHeight="false" outlineLevel="0" collapsed="false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</row>
    <row r="693" customFormat="false" ht="15.75" hidden="false" customHeight="false" outlineLevel="0" collapsed="false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</row>
    <row r="694" customFormat="false" ht="15.75" hidden="false" customHeight="false" outlineLevel="0" collapsed="false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</row>
    <row r="695" customFormat="false" ht="15.75" hidden="false" customHeight="false" outlineLevel="0" collapsed="false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</row>
    <row r="696" customFormat="false" ht="15.75" hidden="false" customHeight="false" outlineLevel="0" collapsed="false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</row>
    <row r="697" customFormat="false" ht="15.75" hidden="false" customHeight="false" outlineLevel="0" collapsed="false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</row>
    <row r="698" customFormat="false" ht="15.75" hidden="false" customHeight="false" outlineLevel="0" collapsed="false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</row>
    <row r="699" customFormat="false" ht="15.75" hidden="false" customHeight="false" outlineLevel="0" collapsed="false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</row>
    <row r="700" customFormat="false" ht="15.75" hidden="false" customHeight="false" outlineLevel="0" collapsed="false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</row>
    <row r="701" customFormat="false" ht="15.75" hidden="false" customHeight="false" outlineLevel="0" collapsed="false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</row>
    <row r="702" customFormat="false" ht="15.75" hidden="false" customHeight="false" outlineLevel="0" collapsed="false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</row>
    <row r="703" customFormat="false" ht="15.75" hidden="false" customHeight="false" outlineLevel="0" collapsed="false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</row>
    <row r="704" customFormat="false" ht="15.75" hidden="false" customHeight="false" outlineLevel="0" collapsed="false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</row>
    <row r="705" customFormat="false" ht="15.75" hidden="false" customHeight="false" outlineLevel="0" collapsed="false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</row>
    <row r="706" customFormat="false" ht="15.75" hidden="false" customHeight="false" outlineLevel="0" collapsed="false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</row>
    <row r="707" customFormat="false" ht="15.75" hidden="false" customHeight="false" outlineLevel="0" collapsed="false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</row>
    <row r="708" customFormat="false" ht="15.75" hidden="false" customHeight="false" outlineLevel="0" collapsed="false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</row>
    <row r="709" customFormat="false" ht="15.75" hidden="false" customHeight="false" outlineLevel="0" collapsed="false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</row>
    <row r="710" customFormat="false" ht="15.75" hidden="false" customHeight="false" outlineLevel="0" collapsed="false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</row>
    <row r="711" customFormat="false" ht="15.75" hidden="false" customHeight="false" outlineLevel="0" collapsed="false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</row>
    <row r="712" customFormat="false" ht="15.75" hidden="false" customHeight="false" outlineLevel="0" collapsed="false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</row>
    <row r="713" customFormat="false" ht="15.75" hidden="false" customHeight="false" outlineLevel="0" collapsed="false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</row>
    <row r="714" customFormat="false" ht="15.75" hidden="false" customHeight="false" outlineLevel="0" collapsed="false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</row>
    <row r="715" customFormat="false" ht="15.75" hidden="false" customHeight="false" outlineLevel="0" collapsed="false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</row>
    <row r="716" customFormat="false" ht="15.75" hidden="false" customHeight="false" outlineLevel="0" collapsed="false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</row>
    <row r="717" customFormat="false" ht="15.75" hidden="false" customHeight="false" outlineLevel="0" collapsed="false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</row>
    <row r="718" customFormat="false" ht="15.75" hidden="false" customHeight="false" outlineLevel="0" collapsed="false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</row>
    <row r="719" customFormat="false" ht="15.75" hidden="false" customHeight="false" outlineLevel="0" collapsed="false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</row>
    <row r="720" customFormat="false" ht="15.75" hidden="false" customHeight="false" outlineLevel="0" collapsed="false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</row>
    <row r="721" customFormat="false" ht="15.75" hidden="false" customHeight="false" outlineLevel="0" collapsed="false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</row>
    <row r="722" customFormat="false" ht="15.75" hidden="false" customHeight="false" outlineLevel="0" collapsed="false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</row>
    <row r="723" customFormat="false" ht="15.75" hidden="false" customHeight="false" outlineLevel="0" collapsed="false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</row>
    <row r="724" customFormat="false" ht="15.75" hidden="false" customHeight="false" outlineLevel="0" collapsed="false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</row>
    <row r="725" customFormat="false" ht="15.75" hidden="false" customHeight="false" outlineLevel="0" collapsed="false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</row>
    <row r="726" customFormat="false" ht="15.75" hidden="false" customHeight="false" outlineLevel="0" collapsed="false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</row>
    <row r="727" customFormat="false" ht="15.75" hidden="false" customHeight="false" outlineLevel="0" collapsed="false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</row>
    <row r="728" customFormat="false" ht="15.75" hidden="false" customHeight="false" outlineLevel="0" collapsed="false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</row>
    <row r="729" customFormat="false" ht="15.75" hidden="false" customHeight="false" outlineLevel="0" collapsed="false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</row>
    <row r="730" customFormat="false" ht="15.75" hidden="false" customHeight="false" outlineLevel="0" collapsed="false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</row>
    <row r="731" customFormat="false" ht="15.75" hidden="false" customHeight="false" outlineLevel="0" collapsed="false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</row>
    <row r="732" customFormat="false" ht="15.75" hidden="false" customHeight="false" outlineLevel="0" collapsed="false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</row>
    <row r="733" customFormat="false" ht="15.75" hidden="false" customHeight="false" outlineLevel="0" collapsed="false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</row>
    <row r="734" customFormat="false" ht="15.75" hidden="false" customHeight="false" outlineLevel="0" collapsed="false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</row>
    <row r="735" customFormat="false" ht="15.75" hidden="false" customHeight="false" outlineLevel="0" collapsed="false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</row>
    <row r="736" customFormat="false" ht="15.75" hidden="false" customHeight="false" outlineLevel="0" collapsed="false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</row>
    <row r="737" customFormat="false" ht="15.75" hidden="false" customHeight="false" outlineLevel="0" collapsed="false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</row>
    <row r="738" customFormat="false" ht="15.75" hidden="false" customHeight="false" outlineLevel="0" collapsed="false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</row>
    <row r="739" customFormat="false" ht="15.75" hidden="false" customHeight="false" outlineLevel="0" collapsed="false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</row>
    <row r="740" customFormat="false" ht="15.75" hidden="false" customHeight="false" outlineLevel="0" collapsed="false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</row>
    <row r="741" customFormat="false" ht="15.75" hidden="false" customHeight="false" outlineLevel="0" collapsed="false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</row>
    <row r="742" customFormat="false" ht="15.75" hidden="false" customHeight="false" outlineLevel="0" collapsed="false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</row>
    <row r="743" customFormat="false" ht="15.75" hidden="false" customHeight="false" outlineLevel="0" collapsed="false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</row>
    <row r="744" customFormat="false" ht="15.75" hidden="false" customHeight="false" outlineLevel="0" collapsed="false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</row>
    <row r="745" customFormat="false" ht="15.75" hidden="false" customHeight="false" outlineLevel="0" collapsed="false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</row>
    <row r="746" customFormat="false" ht="15.75" hidden="false" customHeight="false" outlineLevel="0" collapsed="false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</row>
    <row r="747" customFormat="false" ht="15.75" hidden="false" customHeight="false" outlineLevel="0" collapsed="false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</row>
    <row r="748" customFormat="false" ht="15.75" hidden="false" customHeight="false" outlineLevel="0" collapsed="false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</row>
    <row r="749" customFormat="false" ht="15.75" hidden="false" customHeight="false" outlineLevel="0" collapsed="false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</row>
    <row r="750" customFormat="false" ht="15.75" hidden="false" customHeight="false" outlineLevel="0" collapsed="false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</row>
    <row r="751" customFormat="false" ht="15.75" hidden="false" customHeight="false" outlineLevel="0" collapsed="false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</row>
    <row r="752" customFormat="false" ht="15.75" hidden="false" customHeight="false" outlineLevel="0" collapsed="false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</row>
    <row r="753" customFormat="false" ht="15.75" hidden="false" customHeight="false" outlineLevel="0" collapsed="false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</row>
    <row r="754" customFormat="false" ht="15.75" hidden="false" customHeight="false" outlineLevel="0" collapsed="false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</row>
    <row r="755" customFormat="false" ht="15.75" hidden="false" customHeight="false" outlineLevel="0" collapsed="false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</row>
    <row r="756" customFormat="false" ht="15.75" hidden="false" customHeight="false" outlineLevel="0" collapsed="false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</row>
    <row r="757" customFormat="false" ht="15.75" hidden="false" customHeight="false" outlineLevel="0" collapsed="false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</row>
    <row r="758" customFormat="false" ht="15.75" hidden="false" customHeight="false" outlineLevel="0" collapsed="false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</row>
    <row r="759" customFormat="false" ht="15.75" hidden="false" customHeight="false" outlineLevel="0" collapsed="false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</row>
    <row r="760" customFormat="false" ht="15.75" hidden="false" customHeight="false" outlineLevel="0" collapsed="false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</row>
    <row r="761" customFormat="false" ht="15.75" hidden="false" customHeight="false" outlineLevel="0" collapsed="false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</row>
    <row r="762" customFormat="false" ht="15.75" hidden="false" customHeight="false" outlineLevel="0" collapsed="false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</row>
    <row r="763" customFormat="false" ht="15.75" hidden="false" customHeight="false" outlineLevel="0" collapsed="false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</row>
    <row r="764" customFormat="false" ht="15.75" hidden="false" customHeight="false" outlineLevel="0" collapsed="false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</row>
    <row r="765" customFormat="false" ht="15.75" hidden="false" customHeight="false" outlineLevel="0" collapsed="false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</row>
    <row r="766" customFormat="false" ht="15.75" hidden="false" customHeight="false" outlineLevel="0" collapsed="false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</row>
    <row r="767" customFormat="false" ht="15.75" hidden="false" customHeight="false" outlineLevel="0" collapsed="false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</row>
    <row r="768" customFormat="false" ht="15.75" hidden="false" customHeight="false" outlineLevel="0" collapsed="false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</row>
    <row r="769" customFormat="false" ht="15.75" hidden="false" customHeight="false" outlineLevel="0" collapsed="false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</row>
    <row r="770" customFormat="false" ht="15.75" hidden="false" customHeight="false" outlineLevel="0" collapsed="false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</row>
    <row r="771" customFormat="false" ht="15.75" hidden="false" customHeight="false" outlineLevel="0" collapsed="false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</row>
    <row r="772" customFormat="false" ht="15.75" hidden="false" customHeight="false" outlineLevel="0" collapsed="false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</row>
    <row r="773" customFormat="false" ht="15.75" hidden="false" customHeight="false" outlineLevel="0" collapsed="false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</row>
    <row r="774" customFormat="false" ht="15.75" hidden="false" customHeight="false" outlineLevel="0" collapsed="false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</row>
    <row r="775" customFormat="false" ht="15.75" hidden="false" customHeight="false" outlineLevel="0" collapsed="false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</row>
    <row r="776" customFormat="false" ht="15.75" hidden="false" customHeight="false" outlineLevel="0" collapsed="false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</row>
    <row r="777" customFormat="false" ht="15.75" hidden="false" customHeight="false" outlineLevel="0" collapsed="false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</row>
    <row r="778" customFormat="false" ht="15.75" hidden="false" customHeight="false" outlineLevel="0" collapsed="false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</row>
    <row r="779" customFormat="false" ht="15.75" hidden="false" customHeight="false" outlineLevel="0" collapsed="false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</row>
    <row r="780" customFormat="false" ht="15.75" hidden="false" customHeight="false" outlineLevel="0" collapsed="false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</row>
    <row r="781" customFormat="false" ht="15.75" hidden="false" customHeight="false" outlineLevel="0" collapsed="false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</row>
    <row r="782" customFormat="false" ht="15.75" hidden="false" customHeight="false" outlineLevel="0" collapsed="false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</row>
    <row r="783" customFormat="false" ht="15.75" hidden="false" customHeight="false" outlineLevel="0" collapsed="false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</row>
    <row r="784" customFormat="false" ht="15.75" hidden="false" customHeight="false" outlineLevel="0" collapsed="false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</row>
    <row r="785" customFormat="false" ht="15.75" hidden="false" customHeight="false" outlineLevel="0" collapsed="false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</row>
    <row r="786" customFormat="false" ht="15.75" hidden="false" customHeight="false" outlineLevel="0" collapsed="false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</row>
    <row r="787" customFormat="false" ht="15.75" hidden="false" customHeight="false" outlineLevel="0" collapsed="false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</row>
    <row r="788" customFormat="false" ht="15.75" hidden="false" customHeight="false" outlineLevel="0" collapsed="false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</row>
    <row r="789" customFormat="false" ht="15.75" hidden="false" customHeight="false" outlineLevel="0" collapsed="false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</row>
    <row r="790" customFormat="false" ht="15.75" hidden="false" customHeight="false" outlineLevel="0" collapsed="false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</row>
    <row r="791" customFormat="false" ht="15.75" hidden="false" customHeight="false" outlineLevel="0" collapsed="false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</row>
    <row r="792" customFormat="false" ht="15.75" hidden="false" customHeight="false" outlineLevel="0" collapsed="false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</row>
    <row r="793" customFormat="false" ht="15.75" hidden="false" customHeight="false" outlineLevel="0" collapsed="false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</row>
    <row r="794" customFormat="false" ht="15.75" hidden="false" customHeight="false" outlineLevel="0" collapsed="false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</row>
    <row r="795" customFormat="false" ht="15.75" hidden="false" customHeight="false" outlineLevel="0" collapsed="false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</row>
    <row r="796" customFormat="false" ht="15.75" hidden="false" customHeight="false" outlineLevel="0" collapsed="false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</row>
    <row r="797" customFormat="false" ht="15.75" hidden="false" customHeight="false" outlineLevel="0" collapsed="false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</row>
    <row r="798" customFormat="false" ht="15.75" hidden="false" customHeight="false" outlineLevel="0" collapsed="false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</row>
    <row r="799" customFormat="false" ht="15.75" hidden="false" customHeight="false" outlineLevel="0" collapsed="false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</row>
    <row r="800" customFormat="false" ht="15.75" hidden="false" customHeight="false" outlineLevel="0" collapsed="false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</row>
    <row r="801" customFormat="false" ht="15.75" hidden="false" customHeight="false" outlineLevel="0" collapsed="false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</row>
    <row r="802" customFormat="false" ht="15.75" hidden="false" customHeight="false" outlineLevel="0" collapsed="false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</row>
    <row r="803" customFormat="false" ht="15.75" hidden="false" customHeight="false" outlineLevel="0" collapsed="false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</row>
    <row r="804" customFormat="false" ht="15.75" hidden="false" customHeight="false" outlineLevel="0" collapsed="false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</row>
    <row r="805" customFormat="false" ht="15.75" hidden="false" customHeight="false" outlineLevel="0" collapsed="false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</row>
    <row r="806" customFormat="false" ht="15.75" hidden="false" customHeight="false" outlineLevel="0" collapsed="false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</row>
    <row r="807" customFormat="false" ht="15.75" hidden="false" customHeight="false" outlineLevel="0" collapsed="false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</row>
    <row r="808" customFormat="false" ht="15.75" hidden="false" customHeight="false" outlineLevel="0" collapsed="false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</row>
    <row r="809" customFormat="false" ht="15.75" hidden="false" customHeight="false" outlineLevel="0" collapsed="false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</row>
    <row r="810" customFormat="false" ht="15.75" hidden="false" customHeight="false" outlineLevel="0" collapsed="false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</row>
    <row r="811" customFormat="false" ht="15.75" hidden="false" customHeight="false" outlineLevel="0" collapsed="false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</row>
    <row r="812" customFormat="false" ht="15.75" hidden="false" customHeight="false" outlineLevel="0" collapsed="false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</row>
    <row r="813" customFormat="false" ht="15.75" hidden="false" customHeight="false" outlineLevel="0" collapsed="false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</row>
    <row r="814" customFormat="false" ht="15.75" hidden="false" customHeight="false" outlineLevel="0" collapsed="false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</row>
    <row r="815" customFormat="false" ht="15.75" hidden="false" customHeight="false" outlineLevel="0" collapsed="false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</row>
    <row r="816" customFormat="false" ht="15.75" hidden="false" customHeight="false" outlineLevel="0" collapsed="false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</row>
    <row r="817" customFormat="false" ht="15.75" hidden="false" customHeight="false" outlineLevel="0" collapsed="false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</row>
    <row r="818" customFormat="false" ht="15.75" hidden="false" customHeight="false" outlineLevel="0" collapsed="false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</row>
    <row r="819" customFormat="false" ht="15.75" hidden="false" customHeight="false" outlineLevel="0" collapsed="false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</row>
    <row r="820" customFormat="false" ht="15.75" hidden="false" customHeight="false" outlineLevel="0" collapsed="false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</row>
    <row r="821" customFormat="false" ht="15.75" hidden="false" customHeight="false" outlineLevel="0" collapsed="false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</row>
    <row r="822" customFormat="false" ht="15.75" hidden="false" customHeight="false" outlineLevel="0" collapsed="false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</row>
    <row r="823" customFormat="false" ht="15.75" hidden="false" customHeight="false" outlineLevel="0" collapsed="false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</row>
    <row r="824" customFormat="false" ht="15.75" hidden="false" customHeight="false" outlineLevel="0" collapsed="false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</row>
    <row r="825" customFormat="false" ht="15.75" hidden="false" customHeight="false" outlineLevel="0" collapsed="false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</row>
    <row r="826" customFormat="false" ht="15.75" hidden="false" customHeight="false" outlineLevel="0" collapsed="false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</row>
    <row r="827" customFormat="false" ht="15.75" hidden="false" customHeight="false" outlineLevel="0" collapsed="false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</row>
    <row r="828" customFormat="false" ht="15.75" hidden="false" customHeight="false" outlineLevel="0" collapsed="false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</row>
    <row r="829" customFormat="false" ht="15.75" hidden="false" customHeight="false" outlineLevel="0" collapsed="false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</row>
    <row r="830" customFormat="false" ht="15.75" hidden="false" customHeight="false" outlineLevel="0" collapsed="false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</row>
    <row r="831" customFormat="false" ht="15.75" hidden="false" customHeight="false" outlineLevel="0" collapsed="false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</row>
    <row r="832" customFormat="false" ht="15.75" hidden="false" customHeight="false" outlineLevel="0" collapsed="false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</row>
    <row r="833" customFormat="false" ht="15.75" hidden="false" customHeight="false" outlineLevel="0" collapsed="false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</row>
    <row r="834" customFormat="false" ht="15.75" hidden="false" customHeight="false" outlineLevel="0" collapsed="false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</row>
    <row r="835" customFormat="false" ht="15.75" hidden="false" customHeight="false" outlineLevel="0" collapsed="false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</row>
    <row r="836" customFormat="false" ht="15.75" hidden="false" customHeight="false" outlineLevel="0" collapsed="false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</row>
    <row r="837" customFormat="false" ht="15.75" hidden="false" customHeight="false" outlineLevel="0" collapsed="false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</row>
    <row r="838" customFormat="false" ht="15.75" hidden="false" customHeight="false" outlineLevel="0" collapsed="false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</row>
    <row r="839" customFormat="false" ht="15.75" hidden="false" customHeight="false" outlineLevel="0" collapsed="false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</row>
    <row r="840" customFormat="false" ht="15.75" hidden="false" customHeight="false" outlineLevel="0" collapsed="false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</row>
    <row r="841" customFormat="false" ht="15.75" hidden="false" customHeight="false" outlineLevel="0" collapsed="false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</row>
    <row r="842" customFormat="false" ht="15.75" hidden="false" customHeight="false" outlineLevel="0" collapsed="false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</row>
    <row r="843" customFormat="false" ht="15.75" hidden="false" customHeight="false" outlineLevel="0" collapsed="false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</row>
    <row r="844" customFormat="false" ht="15.75" hidden="false" customHeight="false" outlineLevel="0" collapsed="false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</row>
    <row r="845" customFormat="false" ht="15.75" hidden="false" customHeight="false" outlineLevel="0" collapsed="false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</row>
    <row r="846" customFormat="false" ht="15.75" hidden="false" customHeight="false" outlineLevel="0" collapsed="false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</row>
    <row r="847" customFormat="false" ht="15.75" hidden="false" customHeight="false" outlineLevel="0" collapsed="false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</row>
    <row r="848" customFormat="false" ht="15.75" hidden="false" customHeight="false" outlineLevel="0" collapsed="false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</row>
    <row r="849" customFormat="false" ht="15.75" hidden="false" customHeight="false" outlineLevel="0" collapsed="false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</row>
    <row r="850" customFormat="false" ht="15.75" hidden="false" customHeight="false" outlineLevel="0" collapsed="false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</row>
    <row r="851" customFormat="false" ht="15.75" hidden="false" customHeight="false" outlineLevel="0" collapsed="false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</row>
    <row r="852" customFormat="false" ht="15.75" hidden="false" customHeight="false" outlineLevel="0" collapsed="false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</row>
    <row r="853" customFormat="false" ht="15.75" hidden="false" customHeight="false" outlineLevel="0" collapsed="false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</row>
    <row r="854" customFormat="false" ht="15.75" hidden="false" customHeight="false" outlineLevel="0" collapsed="false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</row>
    <row r="855" customFormat="false" ht="15.75" hidden="false" customHeight="false" outlineLevel="0" collapsed="false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</row>
    <row r="856" customFormat="false" ht="15.75" hidden="false" customHeight="false" outlineLevel="0" collapsed="false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</row>
    <row r="857" customFormat="false" ht="15.75" hidden="false" customHeight="false" outlineLevel="0" collapsed="false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</row>
    <row r="858" customFormat="false" ht="15.75" hidden="false" customHeight="false" outlineLevel="0" collapsed="false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</row>
    <row r="859" customFormat="false" ht="15.75" hidden="false" customHeight="false" outlineLevel="0" collapsed="false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</row>
    <row r="860" customFormat="false" ht="15.75" hidden="false" customHeight="false" outlineLevel="0" collapsed="false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</row>
    <row r="861" customFormat="false" ht="15.75" hidden="false" customHeight="false" outlineLevel="0" collapsed="false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</row>
    <row r="862" customFormat="false" ht="15.75" hidden="false" customHeight="false" outlineLevel="0" collapsed="false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</row>
    <row r="863" customFormat="false" ht="15.75" hidden="false" customHeight="false" outlineLevel="0" collapsed="false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</row>
    <row r="864" customFormat="false" ht="15.75" hidden="false" customHeight="false" outlineLevel="0" collapsed="false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</row>
    <row r="865" customFormat="false" ht="15.75" hidden="false" customHeight="false" outlineLevel="0" collapsed="false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</row>
    <row r="866" customFormat="false" ht="15.75" hidden="false" customHeight="false" outlineLevel="0" collapsed="false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</row>
    <row r="867" customFormat="false" ht="15.75" hidden="false" customHeight="false" outlineLevel="0" collapsed="false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</row>
    <row r="868" customFormat="false" ht="15.75" hidden="false" customHeight="false" outlineLevel="0" collapsed="false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</row>
    <row r="869" customFormat="false" ht="15.75" hidden="false" customHeight="false" outlineLevel="0" collapsed="false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</row>
    <row r="870" customFormat="false" ht="15.75" hidden="false" customHeight="false" outlineLevel="0" collapsed="false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</row>
    <row r="871" customFormat="false" ht="15.75" hidden="false" customHeight="false" outlineLevel="0" collapsed="false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</row>
    <row r="872" customFormat="false" ht="15.75" hidden="false" customHeight="false" outlineLevel="0" collapsed="false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</row>
    <row r="873" customFormat="false" ht="15.75" hidden="false" customHeight="false" outlineLevel="0" collapsed="false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</row>
    <row r="874" customFormat="false" ht="15.75" hidden="false" customHeight="false" outlineLevel="0" collapsed="false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</row>
    <row r="875" customFormat="false" ht="15.75" hidden="false" customHeight="false" outlineLevel="0" collapsed="false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</row>
    <row r="876" customFormat="false" ht="15.75" hidden="false" customHeight="false" outlineLevel="0" collapsed="false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</row>
    <row r="877" customFormat="false" ht="15.75" hidden="false" customHeight="false" outlineLevel="0" collapsed="false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</row>
    <row r="878" customFormat="false" ht="15.75" hidden="false" customHeight="false" outlineLevel="0" collapsed="false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</row>
    <row r="879" customFormat="false" ht="15.75" hidden="false" customHeight="false" outlineLevel="0" collapsed="false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</row>
    <row r="880" customFormat="false" ht="15.75" hidden="false" customHeight="false" outlineLevel="0" collapsed="false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</row>
    <row r="881" customFormat="false" ht="15.75" hidden="false" customHeight="false" outlineLevel="0" collapsed="false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</row>
    <row r="882" customFormat="false" ht="15.75" hidden="false" customHeight="false" outlineLevel="0" collapsed="false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</row>
  </sheetData>
  <hyperlinks>
    <hyperlink ref="AA280" r:id="rId1" display="https://docs.google.com/spreadsheets/d/19PxvPfGsGu8F3B0iIsOJYTqvfHWQSPK_pHgkXrO397s/edit?usp=drivesdk"/>
    <hyperlink ref="AB280" r:id="rId2" display="https://drive.google.com/drive/folders/1VtbC3ANLqCxXDw_BqR_SHYEELqpyy98u"/>
    <hyperlink ref="AA281" r:id="rId3" display="https://docs.google.com/spreadsheets/d/1S9WBiX0Sv4CQV-mrOtML-ZcBTOwtBtbAj5vbkBcI390/edit?usp=drivesdk"/>
    <hyperlink ref="AB281" r:id="rId4" display="https://drive.google.com/drive/folders/1VtbC3ANLqCxXDw_BqR_SHYEELqpyy98u"/>
    <hyperlink ref="AA282" r:id="rId5" display="https://docs.google.com/spreadsheets/d/182yp3rXNO3nEiUWuJUToySK5BZnA_Y4Z-CpwGtChvlY/edit?usp=drivesdk"/>
    <hyperlink ref="AB282" r:id="rId6" display="https://drive.google.com/drive/folders/1VtbC3ANLqCxXDw_BqR_SHYEELqpyy98u"/>
    <hyperlink ref="AA283" r:id="rId7" display="https://docs.google.com/spreadsheets/d/1Zcje-KX2TuwgnEHPD2P-Vv1YVb6QdoziI7yRGQPyfB8/edit?usp=drivesdk"/>
    <hyperlink ref="AB283" r:id="rId8" display="https://drive.google.com/drive/folders/1VtbC3ANLqCxXDw_BqR_SHYEELqpyy98u"/>
    <hyperlink ref="AA284" r:id="rId9" display="https://docs.google.com/spreadsheets/d/15BP5pihWRoAvUgXVPZBwAr_EtnvVd_XPrQyBwhpUl9k/edit?usp=drivesdk"/>
    <hyperlink ref="AB284" r:id="rId10" display="https://drive.google.com/drive/folders/1VtbC3ANLqCxXDw_BqR_SHYEELqpyy98u"/>
    <hyperlink ref="AA285" r:id="rId11" display="https://docs.google.com/spreadsheets/d/1wNHux6gRQp6oyM5_dFNLS4VeNGokLWt-ZBLVUp7Rrvk/edit?usp=drivesdk"/>
    <hyperlink ref="AB285" r:id="rId12" display="https://drive.google.com/drive/folders/1VtbC3ANLqCxXDw_BqR_SHYEELqpyy98u"/>
    <hyperlink ref="AA286" r:id="rId13" display="https://docs.google.com/spreadsheets/d/1qPC24VtnV2C-Dhct518KwqXvnqmV1oSq_IVOeA6Vt0w/edit?usp=drivesdk"/>
    <hyperlink ref="AB286" r:id="rId14" display="https://drive.google.com/drive/folders/1VtbC3ANLqCxXDw_BqR_SHYEELqpyy98u"/>
    <hyperlink ref="AA287" r:id="rId15" display="https://docs.google.com/spreadsheets/d/1lPKgpKgkcnjhbfwUnZeGvZ2q0KHfF3m_KPUuYKTpvDU/edit?usp=drivesdk"/>
    <hyperlink ref="AB287" r:id="rId16" display="https://drive.google.com/drive/folders/1VtbC3ANLqCxXDw_BqR_SHYEELqpyy98u"/>
    <hyperlink ref="AA288" r:id="rId17" display="https://docs.google.com/spreadsheets/d/1yFPSqF5FxurYxLK-hQWn6PUDDXnROxT6HcpBaFy-5X4/edit?usp=drivesdk"/>
    <hyperlink ref="AB288" r:id="rId18" display="https://drive.google.com/drive/folders/1VtbC3ANLqCxXDw_BqR_SHYEELqpyy98u"/>
    <hyperlink ref="AA289" r:id="rId19" display="https://docs.google.com/spreadsheets/d/1fW-QgMHYMgroUc2aFXa32bBebR-Z-Zm2Qc5ox8p0PwU/edit?usp=drivesdk"/>
    <hyperlink ref="AB289" r:id="rId20" display="https://drive.google.com/drive/folders/1VtbC3ANLqCxXDw_BqR_SHYEELqpyy98u"/>
    <hyperlink ref="AA290" r:id="rId21" display="https://docs.google.com/spreadsheets/d/1pbj5VSSwAXqtDFo-1wcxma7PlatVzio1i74FMO2xBqk/edit?usp=drivesdk"/>
    <hyperlink ref="AB290" r:id="rId22" display="https://drive.google.com/drive/folders/1VtbC3ANLqCxXDw_BqR_SHYEELqpyy98u"/>
    <hyperlink ref="AA291" r:id="rId23" display="https://docs.google.com/spreadsheets/d/1XxP6MUZHQnHKs188DQw31evbMmtMdNsDCO-RHGDhpDM/edit?usp=drivesdk"/>
    <hyperlink ref="AB291" r:id="rId24" display="https://drive.google.com/drive/folders/1VtbC3ANLqCxXDw_BqR_SHYEELqpyy98u"/>
    <hyperlink ref="AA292" r:id="rId25" display="https://docs.google.com/spreadsheets/d/1jiqPUKjcYxN__ISkl4hWaiXdM2k3eBcbU1SYPZKJk_Y/edit?usp=drivesdk"/>
    <hyperlink ref="AB292" r:id="rId26" display="https://drive.google.com/drive/folders/1VtbC3ANLqCxXDw_BqR_SHYEELqpyy98u"/>
    <hyperlink ref="AA293" r:id="rId27" display="https://docs.google.com/spreadsheets/d/1RSzADnKOJwF_fOi20iQHn1JQAtCcpmdSV5b-Re1Thpk/edit?usp=drivesdk"/>
    <hyperlink ref="AB293" r:id="rId28" display="https://drive.google.com/drive/folders/1VtbC3ANLqCxXDw_BqR_SHYEELqpyy98u"/>
    <hyperlink ref="AA294" r:id="rId29" display="https://docs.google.com/spreadsheets/d/1GchOe5ZDJOYV-FjQvMjZ9O58ErS3sIPM79bdWESJLd0/edit?usp=drivesdk"/>
    <hyperlink ref="AB294" r:id="rId30" display="https://drive.google.com/drive/folders/1VtbC3ANLqCxXDw_BqR_SHYEELqpyy98u"/>
    <hyperlink ref="AA295" r:id="rId31" display="https://docs.google.com/spreadsheets/d/1Ott0wQ9Tx-I_NXsA1bOB524S3AGJDI79aal9ZUtXKEg/edit?usp=drivesdk"/>
    <hyperlink ref="AB295" r:id="rId32" display="https://drive.google.com/drive/folders/1VtbC3ANLqCxXDw_BqR_SHYEELqpyy98u"/>
    <hyperlink ref="AA296" r:id="rId33" display="https://docs.google.com/spreadsheets/d/1huC_MgOf8j1WxV5IJZG-BeYOt3cqiNV2HRIG6b8iTMQ/edit?usp=drivesdk"/>
    <hyperlink ref="AB296" r:id="rId34" display="https://drive.google.com/drive/folders/1VtbC3ANLqCxXDw_BqR_SHYEELqpyy98u"/>
    <hyperlink ref="AA297" r:id="rId35" display="https://docs.google.com/spreadsheets/d/1eTtePbXk7Jv4L-QYt5vF1LacRk-74w9iNlUkU224uyc/edit?usp=drivesdk"/>
    <hyperlink ref="AB297" r:id="rId36" display="https://drive.google.com/drive/folders/1VtbC3ANLqCxXDw_BqR_SHYEELqpyy98u"/>
    <hyperlink ref="AA298" r:id="rId37" display="https://docs.google.com/spreadsheets/d/1RkAiQwijw4CMoxCWkLLUnGQwOCGa75RliqxWpZYwM5c/edit?usp=drivesdk"/>
    <hyperlink ref="AB298" r:id="rId38" display="https://drive.google.com/drive/folders/1VtbC3ANLqCxXDw_BqR_SHYEELqpyy98u"/>
    <hyperlink ref="AA299" r:id="rId39" display="https://docs.google.com/spreadsheets/d/1wrUF9DSTGIjbnck7VgcgxymnZzjjIMlgznMrAP-FzEw/edit?usp=drivesdk"/>
    <hyperlink ref="AB299" r:id="rId40" display="https://drive.google.com/drive/folders/1VtbC3ANLqCxXDw_BqR_SHYEELqpyy98u"/>
    <hyperlink ref="AA300" r:id="rId41" display="https://docs.google.com/spreadsheets/d/11-oDXS_a5r43wB7Hz3shISL713b1YJxudrqgBwYfcyM/edit?usp=drivesdk"/>
    <hyperlink ref="AB300" r:id="rId42" display="https://drive.google.com/drive/folders/1VtbC3ANLqCxXDw_BqR_SHYEELqpyy98u"/>
    <hyperlink ref="AA301" r:id="rId43" display="https://docs.google.com/spreadsheets/d/1mp4IsyqsEVigw4_deuKMyuY86vdIq23HP-J2H8ZwKuY/edit?usp=drivesdk"/>
    <hyperlink ref="AB301" r:id="rId44" display="https://drive.google.com/drive/folders/1VtbC3ANLqCxXDw_BqR_SHYEELqpyy98u"/>
    <hyperlink ref="AA302" r:id="rId45" display="https://docs.google.com/spreadsheets/d/1x6miuEUft3JgKBjnaTfzUDbOTJMGIPcQO2UOMU9VBnE/edit?usp=drivesdk"/>
    <hyperlink ref="AB302" r:id="rId46" display="https://drive.google.com/drive/folders/1VtbC3ANLqCxXDw_BqR_SHYEELqpyy98u"/>
    <hyperlink ref="AA303" r:id="rId47" display="https://docs.google.com/spreadsheets/d/119l5BK7Omy96HaMZtOXBZk9vGxGoXFCkRAWeKLOotRA/edit?usp=drivesdk"/>
    <hyperlink ref="AB303" r:id="rId48" display="https://drive.google.com/drive/folders/1VtbC3ANLqCxXDw_BqR_SHYEELqpyy98u"/>
    <hyperlink ref="AA304" r:id="rId49" display="https://docs.google.com/spreadsheets/d/1cJ5ZimMP0s8EY0p6HWOTcrBNAfCjmcfsGia7HzHhM7M/edit?usp=drivesdk"/>
    <hyperlink ref="AB304" r:id="rId50" display="https://drive.google.com/drive/folders/1VtbC3ANLqCxXDw_BqR_SHYEELqpyy98u"/>
    <hyperlink ref="AA305" r:id="rId51" display="https://docs.google.com/spreadsheets/d/1OFsp4Ea1Oaxxji-NC2uzqZFBZyb_KgcXGhQCHm4N-Y8/edit?usp=drivesdk"/>
    <hyperlink ref="AB305" r:id="rId52" display="https://drive.google.com/drive/folders/1VtbC3ANLqCxXDw_BqR_SHYEELqpyy98u"/>
    <hyperlink ref="AA306" r:id="rId53" display="https://docs.google.com/spreadsheets/d/1XH9hYetTGR07ivrJXYGBgC45lN_K9aVqQf2g49lk3jY/edit?usp=drivesdk"/>
    <hyperlink ref="AB306" r:id="rId54" display="https://drive.google.com/drive/folders/1VtbC3ANLqCxXDw_BqR_SHYEELqpyy98u"/>
    <hyperlink ref="AA307" r:id="rId55" display="https://docs.google.com/spreadsheets/d/1TAzXdbqax74l9_C8JtUTMr1fOpDBWogiZpMOrOHtciw/edit?usp=drivesdk"/>
    <hyperlink ref="AB307" r:id="rId56" display="https://drive.google.com/drive/folders/1VtbC3ANLqCxXDw_BqR_SHYEELqpyy98u"/>
    <hyperlink ref="AA308" r:id="rId57" display="https://docs.google.com/spreadsheets/d/1B9xeOaFvKIpbYMrCvdFDveMKqqjS2DmO3r23wmX4ulQ/edit?usp=drivesdk"/>
    <hyperlink ref="AB308" r:id="rId58" display="https://drive.google.com/drive/folders/1VtbC3ANLqCxXDw_BqR_SHYEELqpyy98u"/>
    <hyperlink ref="AA309" r:id="rId59" display="https://docs.google.com/spreadsheets/d/1Lgo7A3ytcSl-XDy8EtaLjestmK2MUx5RbhQzHg6xR7M/edit?usp=drivesdk"/>
    <hyperlink ref="AB309" r:id="rId60" display="https://drive.google.com/drive/folders/1VtbC3ANLqCxXDw_BqR_SHYEELqpyy98u"/>
    <hyperlink ref="AA310" r:id="rId61" display="https://docs.google.com/spreadsheets/d/13n_q08Z6OAcMtTTUQLS5S8_hvy-p4-mYK9iFhcOg4jI/edit?usp=drivesdk"/>
    <hyperlink ref="AB310" r:id="rId62" display="https://drive.google.com/drive/folders/1VtbC3ANLqCxXDw_BqR_SHYEELqpyy98u"/>
    <hyperlink ref="AA311" r:id="rId63" display="https://docs.google.com/spreadsheets/d/1CCTVSLoo0dQJjWiUtcmTT3MVCxAcWuoDLlm2SNjR6Cs/edit?usp=drivesdk"/>
    <hyperlink ref="AB311" r:id="rId64" display="https://drive.google.com/drive/folders/1VtbC3ANLqCxXDw_BqR_SHYEELqpyy98u"/>
    <hyperlink ref="H312" r:id="rId65" display="alu.com.ar"/>
    <hyperlink ref="AA312" r:id="rId66" display="https://docs.google.com/spreadsheets/d/1o9RhcQFydAAZsQffbIxgdXOfMTdho_SFBmrLCBLbp4M/edit?usp=drivesdk"/>
    <hyperlink ref="AB312" r:id="rId67" display="https://drive.google.com/drive/folders/1VtbC3ANLqCxXDw_BqR_SHYEELqpyy98u"/>
    <hyperlink ref="AA313" r:id="rId68" display="https://docs.google.com/spreadsheets/d/15nvRm8SN0QXHNVbvydKe1MMzMqkjiNQ51eJHmHwRofk/edit?usp=drivesdk"/>
    <hyperlink ref="AB313" r:id="rId69" display="https://drive.google.com/drive/folders/1oVZYT1yPNZnXLNdlHXbF_6MVref3-L-C"/>
    <hyperlink ref="AA314" r:id="rId70" display="https://docs.google.com/spreadsheets/d/1DHXE418ezPiY4OpwKRVA_o3x8KP3Xq6vzYbFFU9NqHg/edit?usp=drivesdk"/>
    <hyperlink ref="AB314" r:id="rId71" display="https://drive.google.com/drive/folders/1VtbC3ANLqCxXDw_BqR_SHYEELqpyy98u"/>
    <hyperlink ref="AA315" r:id="rId72" display="https://docs.google.com/spreadsheets/d/1W2muwJnu5kh01ooEdoJlpJgZaHZQQcmWPgznCNBhG9g/edit?usp=drivesdk"/>
    <hyperlink ref="AB315" r:id="rId73" display="https://drive.google.com/drive/folders/1VtbC3ANLqCxXDw_BqR_SHYEELqpyy98u"/>
    <hyperlink ref="AA316" r:id="rId74" display="https://docs.google.com/spreadsheets/d/1_lKnNM6675jXTqnwO-xalNym3PC-gE_s3hTW4RofBzc/edit?usp=drivesdk"/>
    <hyperlink ref="AB316" r:id="rId75" display="https://drive.google.com/drive/folders/1j9L8oBZXmaOQ0PzTDKoEtrX_qLU0c-GO"/>
    <hyperlink ref="AA317" r:id="rId76" display="https://docs.google.com/spreadsheets/d/1f5opm4E-vL9iaQuDM8PkKgFWCCsSFr6Bdb0Y1Cvm37U/edit?usp=drivesdk"/>
    <hyperlink ref="AB317" r:id="rId77" display="https://drive.google.com/drive/folders/1j9L8oBZXmaOQ0PzTDKoEtrX_qLU0c-GO"/>
    <hyperlink ref="AA318" r:id="rId78" display="https://docs.google.com/spreadsheets/d/1kPwxOdwYH6R5xb5fl40Awvh87iVuA1pg4194idzq3wM/edit?usp=drivesdk"/>
    <hyperlink ref="AB318" r:id="rId79" display="https://drive.google.com/drive/folders/1j9L8oBZXmaOQ0PzTDKoEtrX_qLU0c-GO"/>
    <hyperlink ref="AA319" r:id="rId80" display="https://docs.google.com/spreadsheets/d/1kvUq8Ds4ngWP_pAaZ-oHQcrJojLcCr3lUXIVPzevKYM/edit?usp=drivesdk"/>
    <hyperlink ref="AB319" r:id="rId81" display="https://drive.google.com/drive/folders/1j9L8oBZXmaOQ0PzTDKoEtrX_qLU0c-GO"/>
    <hyperlink ref="AA320" r:id="rId82" display="https://docs.google.com/spreadsheets/d/1MlYb9dqKaqY4ZphSazt1QHURgZ0VbkQXhBR-VtZszR8/edit?usp=drivesdk"/>
    <hyperlink ref="AB320" r:id="rId83" display="https://drive.google.com/drive/folders/1j9L8oBZXmaOQ0PzTDKoEtrX_qLU0c-GO"/>
    <hyperlink ref="AA321" r:id="rId84" display="https://docs.google.com/spreadsheets/d/18rTP3CkhSXunrWrUwlcu_6wTvGZuwbzCsW6CXR9McBA/edit?usp=drivesdk"/>
    <hyperlink ref="AB321" r:id="rId85" display="https://drive.google.com/drive/folders/1j9L8oBZXmaOQ0PzTDKoEtrX_qLU0c-GO"/>
    <hyperlink ref="AA322" r:id="rId86" display="https://docs.google.com/spreadsheets/d/1LZQISbA30mTolvZxaUH3FHtsvWoEWnQnZGi7GnodYhA/edit?usp=drivesdk"/>
    <hyperlink ref="AB322" r:id="rId87" display="https://drive.google.com/drive/folders/1j9L8oBZXmaOQ0PzTDKoEtrX_qLU0c-GO"/>
    <hyperlink ref="AA323" r:id="rId88" display="https://docs.google.com/spreadsheets/d/1dKBmrnfdxO9k5pBAHKr9ENSCsr1Z5RBRXReVJWH-xRI/edit?usp=drivesdk"/>
    <hyperlink ref="AB323" r:id="rId89" display="https://drive.google.com/drive/folders/1j9L8oBZXmaOQ0PzTDKoEtrX_qLU0c-GO"/>
    <hyperlink ref="H324" r:id="rId90" display="alu.bue.edu.ar"/>
    <hyperlink ref="AA324" r:id="rId91" display="https://docs.google.com/spreadsheets/d/1LT-S3YIi3MBVA8XCP1GUyRmd1UGorAMt9Qxt48BJ3-s/edit?usp=drivesdk"/>
    <hyperlink ref="AB324" r:id="rId92" display="https://drive.google.com/drive/folders/1UqRtQlIJ0R-JyUKW5QIHAqCa5kIZ1LC1"/>
    <hyperlink ref="AA325" r:id="rId93" display="https://docs.google.com/spreadsheets/d/1o12NOonwikVuemLTBjo6zqEv1MCOX0tXkHIC6u4E2mc/edit?usp=drivesdk"/>
    <hyperlink ref="AB325" r:id="rId94" display="https://drive.google.com/drive/folders/1UqRtQlIJ0R-JyUKW5QIHAqCa5kIZ1LC1"/>
    <hyperlink ref="AA326" r:id="rId95" display="https://docs.google.com/spreadsheets/d/1WragKSyLcRelRTxPz8BMV6-CJQxA9Ip4QniJ4VIF5V0/edit?usp=drivesdk"/>
    <hyperlink ref="AB326" r:id="rId96" display="https://drive.google.com/drive/folders/1UqRtQlIJ0R-JyUKW5QIHAqCa5kIZ1LC1"/>
    <hyperlink ref="AA327" r:id="rId97" display="https://docs.google.com/spreadsheets/d/1L5X09-5m7ehzFXIJH7G0H_aEjRcrcOlJi-HFK6pnZ4s/edit?usp=drivesdk"/>
    <hyperlink ref="AB327" r:id="rId98" display="https://drive.google.com/drive/folders/1UqRtQlIJ0R-JyUKW5QIHAqCa5kIZ1LC1"/>
    <hyperlink ref="AA328" r:id="rId99" display="https://docs.google.com/spreadsheets/d/1PgtWFCcj7tINMEAi2PQ7zpPPn0c9FXCI9ehRMZY3ci8/edit?usp=drivesdk"/>
    <hyperlink ref="AB328" r:id="rId100" display="https://drive.google.com/drive/folders/1UqRtQlIJ0R-JyUKW5QIHAqCa5kIZ1LC1"/>
    <hyperlink ref="AA329" r:id="rId101" display="https://docs.google.com/spreadsheets/d/1J26cxbK6XnljjUH7Uhn0p5gmeIxhDbHOTRluZ2RD1TI/edit?usp=drivesdk"/>
    <hyperlink ref="AB329" r:id="rId102" display="https://drive.google.com/drive/folders/1UqRtQlIJ0R-JyUKW5QIHAqCa5kIZ1LC1"/>
    <hyperlink ref="AA330" r:id="rId103" display="https://docs.google.com/spreadsheets/d/1-mQG9R7inD1mImn_pvVoDGnYC3TxBMbLWReTNMtJKs4/edit?usp=drivesdk"/>
    <hyperlink ref="AB330" r:id="rId104" display="https://drive.google.com/drive/folders/1UqRtQlIJ0R-JyUKW5QIHAqCa5kIZ1LC1"/>
    <hyperlink ref="AA331" r:id="rId105" display="https://docs.google.com/spreadsheets/d/19FT1mmDIPWFSNIHhRAsR4vgJX2CqroX2ODX-Vd9fxCY/edit?usp=drivesdk"/>
    <hyperlink ref="AB331" r:id="rId106" display="https://drive.google.com/drive/folders/1UqRtQlIJ0R-JyUKW5QIHAqCa5kIZ1LC1"/>
    <hyperlink ref="AA332" r:id="rId107" display="https://docs.google.com/spreadsheets/d/1RNOv1VEs5SURFUemHrZKl4hjsU7R_n0XeEVu4wtx8HI/edit?usp=drivesdk"/>
    <hyperlink ref="AB332" r:id="rId108" display="https://drive.google.com/drive/folders/1UqRtQlIJ0R-JyUKW5QIHAqCa5kIZ1LC1"/>
    <hyperlink ref="AA333" r:id="rId109" display="https://docs.google.com/spreadsheets/d/1nKtrBjKs4wMsSU-AQaDta2gyBmaFn_1V95-qF5suM4s/edit?usp=drivesdk"/>
    <hyperlink ref="AB333" r:id="rId110" display="https://drive.google.com/drive/folders/1R7iz0gmoqTmV-yQLqAg8jz1_Gw7aNA2a"/>
    <hyperlink ref="AA334" r:id="rId111" display="https://docs.google.com/spreadsheets/d/1hhX6rorC79xwu0AoxwPpKGpcW_GJJN41kSRzUTFgHB8/edit?usp=drivesdk"/>
    <hyperlink ref="AB334" r:id="rId112" display="https://drive.google.com/drive/folders/1R7iz0gmoqTmV-yQLqAg8jz1_Gw7aNA2a"/>
    <hyperlink ref="AA335" r:id="rId113" display="https://docs.google.com/spreadsheets/d/1DAzJa8BWgp1Z1-LT4_8CvHzVh1tNqxNraPNd8rgKywg/edit?usp=drivesdk"/>
    <hyperlink ref="AB335" r:id="rId114" display="https://drive.google.com/drive/folders/1R7iz0gmoqTmV-yQLqAg8jz1_Gw7aNA2a"/>
    <hyperlink ref="AA336" r:id="rId115" display="https://docs.google.com/spreadsheets/d/1y8ndrN4X7cs4Bxxx2zlXJeltYvYk2F-9D-Q0debMpCc/edit?usp=drivesdk"/>
    <hyperlink ref="AB336" r:id="rId116" display="https://drive.google.com/drive/folders/1R7iz0gmoqTmV-yQLqAg8jz1_Gw7aNA2a"/>
    <hyperlink ref="AA337" r:id="rId117" display="https://docs.google.com/spreadsheets/d/1mpUxsadui5jwFYIomqbX3-5dmKLZ3rcUMyMdhpkrxV8/edit?usp=drivesdk"/>
    <hyperlink ref="AB337" r:id="rId118" display="https://drive.google.com/drive/folders/1R7iz0gmoqTmV-yQLqAg8jz1_Gw7aNA2a"/>
    <hyperlink ref="AA338" r:id="rId119" display="https://docs.google.com/spreadsheets/d/1BwuJnlIRlJwaddDpPAX416LpnL0qusp3NMlq82uKhNU/edit?usp=drivesdk"/>
    <hyperlink ref="AB338" r:id="rId120" display="https://drive.google.com/drive/folders/1R7iz0gmoqTmV-yQLqAg8jz1_Gw7aNA2a"/>
    <hyperlink ref="AA339" r:id="rId121" display="https://docs.google.com/spreadsheets/d/1v5QlNo8jerRn-TXywgEGBXQrrPxpNTxR39lNvPYgxxE/edit?usp=drivesdk"/>
    <hyperlink ref="AB339" r:id="rId122" display="https://drive.google.com/drive/folders/1R7iz0gmoqTmV-yQLqAg8jz1_Gw7aNA2a"/>
    <hyperlink ref="AA340" r:id="rId123" display="https://docs.google.com/spreadsheets/d/11aCG5lOVtviES0zrhIRHod20fraY7aqRzVli3T2UdbE/edit?usp=drivesdk"/>
    <hyperlink ref="AB340" r:id="rId124" display="https://drive.google.com/drive/folders/1R7iz0gmoqTmV-yQLqAg8jz1_Gw7aNA2a"/>
    <hyperlink ref="AA341" r:id="rId125" display="https://docs.google.com/spreadsheets/d/1o6Xp4J9xovaP_KcTqpoQSkooYTGz36EkHn9tNAGPBnU/edit?usp=drivesdk"/>
    <hyperlink ref="AB341" r:id="rId126" display="https://drive.google.com/drive/folders/1R7iz0gmoqTmV-yQLqAg8jz1_Gw7aNA2a"/>
    <hyperlink ref="AA342" r:id="rId127" display="https://docs.google.com/spreadsheets/d/1ocqPMxZZ3mYyLKz1Lr-Vyy_XChZi30wM1bcpOevywwE/edit?usp=drivesdk"/>
    <hyperlink ref="AB342" r:id="rId128" display="https://drive.google.com/drive/folders/1R7iz0gmoqTmV-yQLqAg8jz1_Gw7aNA2a"/>
    <hyperlink ref="AA343" r:id="rId129" display="https://docs.google.com/spreadsheets/d/18u_sQWn4gHtDp-VejR6i_CNrgB97yXqOwYcMmp78rAY/edit?usp=drivesdk"/>
    <hyperlink ref="AB343" r:id="rId130" display="https://drive.google.com/drive/folders/1R7iz0gmoqTmV-yQLqAg8jz1_Gw7aNA2a"/>
    <hyperlink ref="AA344" r:id="rId131" display="https://docs.google.com/spreadsheets/d/1M55oM5TV13ow6dw0pTYiCmIYXUU3gvQc1STjoyRQASE/edit?usp=drivesdk"/>
    <hyperlink ref="AB344" r:id="rId132" display="https://drive.google.com/drive/folders/1R7iz0gmoqTmV-yQLqAg8jz1_Gw7aNA2a"/>
    <hyperlink ref="AA345" r:id="rId133" display="https://docs.google.com/spreadsheets/d/1IYGirkKcrlwyphkDeYML8bnzT0u3szpqGqm-QCrmFys/edit?usp=drivesdk"/>
    <hyperlink ref="AB345" r:id="rId134" display="https://drive.google.com/drive/folders/1R7iz0gmoqTmV-yQLqAg8jz1_Gw7aNA2a"/>
    <hyperlink ref="AA346" r:id="rId135" display="https://docs.google.com/spreadsheets/d/1kfAa8RTWdIpMMx2kx6S2UIBYRoYLdzfsybe7JF7aWR4/edit?usp=drivesdk"/>
    <hyperlink ref="AB346" r:id="rId136" display="https://drive.google.com/drive/folders/1R7iz0gmoqTmV-yQLqAg8jz1_Gw7aNA2a"/>
    <hyperlink ref="AA347" r:id="rId137" display="https://docs.google.com/spreadsheets/d/1c-vyhT2HAV2EWCsceBA6eSiKfqxlg3F0xfaQ9TLopvg/edit?usp=drivesdk"/>
    <hyperlink ref="AB347" r:id="rId138" display="https://drive.google.com/drive/folders/1R7iz0gmoqTmV-yQLqAg8jz1_Gw7aNA2a"/>
    <hyperlink ref="AA348" r:id="rId139" display="https://docs.google.com/spreadsheets/d/1_1Kted9fFyWsXmZghAv9Pinpuxy8HNqagGJbFd-DZGY/edit?usp=drivesdk"/>
    <hyperlink ref="AB348" r:id="rId140" display="https://drive.google.com/drive/folders/1R7iz0gmoqTmV-yQLqAg8jz1_Gw7aNA2a"/>
    <hyperlink ref="AA349" r:id="rId141" display="https://docs.google.com/spreadsheets/d/1mMb9Vw0MLIVSe87UAFOqmZuVG6dy_Mv2iwoqGX7XqSo/edit?usp=drivesdk"/>
    <hyperlink ref="AB349" r:id="rId142" display="https://drive.google.com/drive/folders/1R7iz0gmoqTmV-yQLqAg8jz1_Gw7aNA2a"/>
    <hyperlink ref="AA350" r:id="rId143" display="https://docs.google.com/spreadsheets/d/16abJ5d5d1rDzirjhX9IEDoAx1wnLZLoLaJ4SFc0Go30/edit?usp=drivesdk"/>
    <hyperlink ref="AB350" r:id="rId144" display="https://drive.google.com/drive/folders/1R7iz0gmoqTmV-yQLqAg8jz1_Gw7aNA2a"/>
    <hyperlink ref="AA351" r:id="rId145" display="https://docs.google.com/spreadsheets/d/1BFzKGIkqr9dc6ZZgXdH6Lc--n26fdGrRwFmBcoyjgU0/edit?usp=drivesdk"/>
    <hyperlink ref="AB351" r:id="rId146" display="https://drive.google.com/drive/folders/1R7iz0gmoqTmV-yQLqAg8jz1_Gw7aNA2a"/>
    <hyperlink ref="AA352" r:id="rId147" display="https://docs.google.com/spreadsheets/d/14GnpgktZOrtj77McInvVYER_9vm0lqof-Dtfy7rSOqA/edit?usp=drivesdk"/>
    <hyperlink ref="AB352" r:id="rId148" display="https://drive.google.com/drive/folders/1R7iz0gmoqTmV-yQLqAg8jz1_Gw7aNA2a"/>
    <hyperlink ref="AA353" r:id="rId149" display="https://docs.google.com/spreadsheets/d/1MdZflEylcAYeHqmg1XlkHR3pf4KOTQu-IL7PyXxgfcM/edit?usp=drivesdk"/>
    <hyperlink ref="AB353" r:id="rId150" display="https://drive.google.com/drive/folders/1R7iz0gmoqTmV-yQLqAg8jz1_Gw7aNA2a"/>
    <hyperlink ref="AA354" r:id="rId151" display="https://docs.google.com/spreadsheets/d/13Mm3PafKGTh1fQmmTWk9MhpOvCGmaXjjL5HsuGi_nUQ/edit?usp=drivesdk"/>
    <hyperlink ref="AB354" r:id="rId152" display="https://drive.google.com/drive/folders/1R7iz0gmoqTmV-yQLqAg8jz1_Gw7aNA2a"/>
    <hyperlink ref="AA355" r:id="rId153" display="https://docs.google.com/spreadsheets/d/1B-Gfkctr7ma58cOEe06HkBjpXjt2AfcR6XNaelWpdq0/edit?usp=drivesdk"/>
    <hyperlink ref="AB355" r:id="rId154" display="https://drive.google.com/drive/folders/1R7iz0gmoqTmV-yQLqAg8jz1_Gw7aNA2a"/>
    <hyperlink ref="AA356" r:id="rId155" display="https://docs.google.com/spreadsheets/d/1ZCCpJQLliQsfMFXavdPj5VhZ613YoN7E028MPSvJkRI/edit?usp=drivesdk"/>
    <hyperlink ref="AB356" r:id="rId156" display="https://drive.google.com/drive/folders/1R7iz0gmoqTmV-yQLqAg8jz1_Gw7aNA2a"/>
    <hyperlink ref="AA357" r:id="rId157" display="https://docs.google.com/spreadsheets/d/1XkGw5UbLWTL9o8PspV8CLid2zyTcKnmyeOZT9lbUCx8/edit?usp=drivesdk"/>
    <hyperlink ref="AB357" r:id="rId158" display="https://drive.google.com/drive/folders/1R7iz0gmoqTmV-yQLqAg8jz1_Gw7aNA2a"/>
    <hyperlink ref="AA358" r:id="rId159" display="https://docs.google.com/spreadsheets/d/1pDTlyQMouak7Jm3IhNeiGsnPv1jIhtt2yCcA5Vu1_eU/edit?usp=drivesdk"/>
    <hyperlink ref="AB358" r:id="rId160" display="https://drive.google.com/drive/folders/1R7iz0gmoqTmV-yQLqAg8jz1_Gw7aNA2a"/>
    <hyperlink ref="AA359" r:id="rId161" display="https://docs.google.com/spreadsheets/d/1prdAs1Z-QMLP0NE2rTcOqcn5lq3ZA7LCZnN_WgwNkdQ/edit?usp=drivesdk"/>
    <hyperlink ref="AB359" r:id="rId162" display="https://drive.google.com/drive/folders/1R7iz0gmoqTmV-yQLqAg8jz1_Gw7aNA2a"/>
    <hyperlink ref="AA360" r:id="rId163" display="https://docs.google.com/spreadsheets/d/1tZhMOLwxk8TO6ZuLk1m6MH5jZFR9hPkET5xp5ynImjg/edit?usp=drivesdk"/>
    <hyperlink ref="AB360" r:id="rId164" display="https://drive.google.com/drive/folders/1R7iz0gmoqTmV-yQLqAg8jz1_Gw7aNA2a"/>
    <hyperlink ref="AA361" r:id="rId165" display="https://docs.google.com/spreadsheets/d/1c1o1BGuQDyExdOadBcYIFs8tk347ZP-qsKRY8Xxr9oY/edit?usp=drivesdk"/>
    <hyperlink ref="AB361" r:id="rId166" display="https://drive.google.com/drive/folders/1R7iz0gmoqTmV-yQLqAg8jz1_Gw7aNA2a"/>
    <hyperlink ref="AA362" r:id="rId167" display="https://docs.google.com/spreadsheets/d/1riOvmmKR60sw4SNx9NBdm1lGzrLYEpD6bBHBY5K28j4/edit?usp=drivesdk"/>
    <hyperlink ref="AB362" r:id="rId168" display="https://drive.google.com/drive/folders/1R7iz0gmoqTmV-yQLqAg8jz1_Gw7aNA2a"/>
    <hyperlink ref="AA363" r:id="rId169" display="https://docs.google.com/spreadsheets/d/10ZjcDRoFNVtQzow5No46SfLwfHRPiFoMESPvYAJarlU/edit?usp=drivesdk"/>
    <hyperlink ref="AB363" r:id="rId170" display="https://drive.google.com/drive/folders/1R7iz0gmoqTmV-yQLqAg8jz1_Gw7aNA2a"/>
    <hyperlink ref="AA364" r:id="rId171" display="https://docs.google.com/spreadsheets/d/1stmjHyzqBGGnHzYNZY322FyFVBaYa2AUwz_u-owOasM/edit?usp=drivesdk"/>
    <hyperlink ref="AB364" r:id="rId172" display="https://drive.google.com/drive/folders/1R7iz0gmoqTmV-yQLqAg8jz1_Gw7aNA2a"/>
    <hyperlink ref="AA365" r:id="rId173" display="https://docs.google.com/spreadsheets/d/1gXx12hPPRc0NMeE6D9a-1mHHqnaTyYMUztVTE1FV8Is/edit?usp=drivesdk"/>
    <hyperlink ref="AB365" r:id="rId174" display="https://drive.google.com/drive/folders/1R7iz0gmoqTmV-yQLqAg8jz1_Gw7aNA2a"/>
    <hyperlink ref="AA366" r:id="rId175" display="https://docs.google.com/spreadsheets/d/1d_kYHhKUi-n82uiDK_uSM9UkAwTqxuj6QHXMxvKIjXo/edit?usp=drivesdk"/>
    <hyperlink ref="AB366" r:id="rId176" display="https://drive.google.com/drive/folders/1R7iz0gmoqTmV-yQLqAg8jz1_Gw7aNA2a"/>
    <hyperlink ref="AA367" r:id="rId177" display="https://docs.google.com/spreadsheets/d/1SnXXuIz5Ns1yarW5s7eq6b9B3FNgAS5GHDstiEF5laU/edit?usp=drivesdk"/>
    <hyperlink ref="AB367" r:id="rId178" display="https://drive.google.com/drive/folders/1WC5X0pwLkl0kQePreUDIjA8A1r_BKxAL"/>
    <hyperlink ref="AA368" r:id="rId179" display="https://docs.google.com/spreadsheets/d/127f5q7YUCKtVpGlZe_4GrqGrSGax1s2ojbUhILotfeg/edit?usp=drivesdk"/>
    <hyperlink ref="AB368" r:id="rId180" display="https://drive.google.com/drive/folders/1WC5X0pwLkl0kQePreUDIjA8A1r_BKxAL"/>
    <hyperlink ref="AA369" r:id="rId181" display="https://docs.google.com/spreadsheets/d/1OduXZ9483Fs8Doynyc28E4-rtLYUseY2dYhmjMfHRPQ/edit?usp=drivesdk"/>
    <hyperlink ref="AB369" r:id="rId182" display="https://drive.google.com/drive/folders/1WC5X0pwLkl0kQePreUDIjA8A1r_BKxAL"/>
    <hyperlink ref="AA370" r:id="rId183" display="https://docs.google.com/spreadsheets/d/1C4TVQUsApUoqOmvWi204o_KZM4Y8pp2Q7hxhGsGMMW0/edit?usp=drivesdk"/>
    <hyperlink ref="AB370" r:id="rId184" display="https://drive.google.com/drive/folders/1xo3JI8FBV3Q9_v4mXivLAOzjnGI1gIeg"/>
    <hyperlink ref="AA371" r:id="rId185" display="https://docs.google.com/spreadsheets/d/19H0IezNXqv7Kg3ziJpSK1COSH0WWBAwUTua8fY0pGOA/edit?usp=drivesdk"/>
    <hyperlink ref="AB371" r:id="rId186" display="https://drive.google.com/drive/folders/1xo3JI8FBV3Q9_v4mXivLAOzjnGI1gIeg"/>
    <hyperlink ref="AA372" r:id="rId187" display="https://docs.google.com/spreadsheets/d/1c_7Hy6JLUVsvj9on3mYrF_rCNdF2yYKGyqZCYP6aJlg/edit?usp=drivesdk"/>
    <hyperlink ref="AB372" r:id="rId188" display="https://drive.google.com/drive/folders/1xo3JI8FBV3Q9_v4mXivLAOzjnGI1gIeg"/>
    <hyperlink ref="AA373" r:id="rId189" display="https://docs.google.com/spreadsheets/d/1D4uKUG52M-cnbMRy8Ruz__9gQQpAWVQ1D_z5z-rrq4o/edit?usp=drivesdk"/>
    <hyperlink ref="AB373" r:id="rId190" display="https://drive.google.com/drive/folders/1xo3JI8FBV3Q9_v4mXivLAOzjnGI1gIeg"/>
    <hyperlink ref="AA374" r:id="rId191" display="https://docs.google.com/spreadsheets/d/129r5lQHIOPwPSygNLUmSV93yVbGhqksNJaHF1V1X5g0/edit?usp=drivesdk"/>
    <hyperlink ref="AB374" r:id="rId192" display="https://drive.google.com/drive/folders/1xo3JI8FBV3Q9_v4mXivLAOzjnGI1gIeg"/>
    <hyperlink ref="AA375" r:id="rId193" display="https://docs.google.com/spreadsheets/d/1lu7ryc384gdnuZwVpuoLL9SVwDBcHVg7zRAQCWpB8LQ/edit?usp=drivesdk"/>
    <hyperlink ref="AB375" r:id="rId194" display="https://drive.google.com/drive/folders/1xo3JI8FBV3Q9_v4mXivLAOzjnGI1gIeg"/>
    <hyperlink ref="AA376" r:id="rId195" display="https://docs.google.com/spreadsheets/d/1W3FjyAt87UkG4NWC6Hk1QmZb1NRhrDPwSZg-s-uE5fQ/edit?usp=drivesdk"/>
    <hyperlink ref="AB376" r:id="rId196" display="https://drive.google.com/drive/folders/1xo3JI8FBV3Q9_v4mXivLAOzjnGI1gIeg"/>
    <hyperlink ref="AA377" r:id="rId197" display="https://docs.google.com/spreadsheets/d/1muvzbenR-7F3vVxwWBSKxJLUmhmEUwcMHNph3oCNP58/edit?usp=drivesdk"/>
    <hyperlink ref="AB377" r:id="rId198" display="https://drive.google.com/drive/folders/1xo3JI8FBV3Q9_v4mXivLAOzjnGI1gIeg"/>
    <hyperlink ref="H378" r:id="rId199" display="Alu.bue.edu.ar"/>
    <hyperlink ref="AA378" r:id="rId200" display="https://docs.google.com/spreadsheets/d/1PBzi5AO-txd0Ntz3zuQx8IBrj1n9eu1qgkJB3sf7nyk/edit?usp=drivesdk"/>
    <hyperlink ref="AB378" r:id="rId201" display="https://drive.google.com/drive/folders/1xo3JI8FBV3Q9_v4mXivLAOzjnGI1gIeg"/>
    <hyperlink ref="AA379" r:id="rId202" display="https://docs.google.com/spreadsheets/d/1c-oi87na8wP51MI_5ebK0Fo3Iy1khv90BUafFZRjphE/edit?usp=drivesdk"/>
    <hyperlink ref="AB379" r:id="rId203" display="https://drive.google.com/drive/folders/1xo3JI8FBV3Q9_v4mXivLAOzjnGI1gIeg"/>
    <hyperlink ref="AA380" r:id="rId204" display="https://docs.google.com/spreadsheets/d/1yYPPyM3xYvVF9bgFOSGh5q-_uZgHSCatSysCsHHnSK8/edit?usp=drivesdk"/>
    <hyperlink ref="AB380" r:id="rId205" display="https://drive.google.com/drive/folders/1xo3JI8FBV3Q9_v4mXivLAOzjnGI1gIeg"/>
    <hyperlink ref="AA381" r:id="rId206" display="https://docs.google.com/spreadsheets/d/1TKPGFMkf6jp0P_o4mv7usObH1LvCxXjcT6sgV_GAPgA/edit?usp=drivesdk"/>
    <hyperlink ref="AB381" r:id="rId207" display="https://drive.google.com/drive/folders/1xo3JI8FBV3Q9_v4mXivLAOzjnGI1gIeg"/>
    <hyperlink ref="AA382" r:id="rId208" display="https://docs.google.com/spreadsheets/d/1s2aElS9i0JOC1xi7rvU3f4q8NweDJ_CXhRK0M1yESR0/edit?usp=drivesdk"/>
    <hyperlink ref="AB382" r:id="rId209" display="https://drive.google.com/drive/folders/1xo3JI8FBV3Q9_v4mXivLAOzjnGI1gIeg"/>
    <hyperlink ref="AA383" r:id="rId210" display="https://docs.google.com/spreadsheets/d/1-jvFfiMlCj_nxxLP85NLSCI_dAUbpkjTBsipop4VqiI/edit?usp=drivesdk"/>
    <hyperlink ref="AB383" r:id="rId211" display="https://drive.google.com/drive/folders/1xo3JI8FBV3Q9_v4mXivLAOzjnGI1gIeg"/>
    <hyperlink ref="AA384" r:id="rId212" display="https://docs.google.com/spreadsheets/d/1F87Tf91_Iqtp2kT6A52HdT8lfmFyEQSezfDyOK87k4Y/edit?usp=drivesdk"/>
    <hyperlink ref="AB384" r:id="rId213" display="https://drive.google.com/drive/folders/1xo3JI8FBV3Q9_v4mXivLAOzjnGI1gIeg"/>
    <hyperlink ref="AA385" r:id="rId214" display="https://docs.google.com/spreadsheets/d/1-JtGdnnVBLgm1HgdrGvwIe9q8SPmXCM3rrRfFmvFzUg/edit?usp=drivesdk"/>
    <hyperlink ref="AB385" r:id="rId215" display="https://drive.google.com/drive/folders/1xo3JI8FBV3Q9_v4mXivLAOzjnGI1gIeg"/>
    <hyperlink ref="AA386" r:id="rId216" display="https://docs.google.com/spreadsheets/d/1uzienf5GSN-CzeUzdl7fIF8ElS3sYfK6JSu4tncPem0/edit?usp=drivesdk"/>
    <hyperlink ref="AB386" r:id="rId217" display="https://drive.google.com/drive/folders/1xo3JI8FBV3Q9_v4mXivLAOzjnGI1gIeg"/>
    <hyperlink ref="AA387" r:id="rId218" display="https://docs.google.com/spreadsheets/d/1TSceizLY75wgQIa4D7TMx-CXbq4qQ170juG9a3nfwxc/edit?usp=drivesdk"/>
    <hyperlink ref="AB387" r:id="rId219" display="https://drive.google.com/drive/folders/1xo3JI8FBV3Q9_v4mXivLAOzjnGI1gIeg"/>
    <hyperlink ref="AA388" r:id="rId220" display="https://docs.google.com/spreadsheets/d/1b_5NYHw5y-pBTXstsuv2qQ172BlFqm9n7Kd6DUjCsks/edit?usp=drivesdk"/>
    <hyperlink ref="AB388" r:id="rId221" display="https://drive.google.com/drive/folders/1xo3JI8FBV3Q9_v4mXivLAOzjnGI1gIeg"/>
    <hyperlink ref="AA389" r:id="rId222" display="https://docs.google.com/spreadsheets/d/1fHXc1bNW__mA9U5mZOojkhpbys_xFd_dCEXaOHqzK9U/edit?usp=drivesdk"/>
    <hyperlink ref="AB389" r:id="rId223" display="https://drive.google.com/drive/folders/1xo3JI8FBV3Q9_v4mXivLAOzjnGI1gIeg"/>
    <hyperlink ref="AA390" r:id="rId224" display="https://docs.google.com/spreadsheets/d/1i4Zez9iHUkqg1HvjwXi5Ees7MLhV4yL8pQaBvLg9NYc/edit?usp=drivesdk"/>
    <hyperlink ref="AB390" r:id="rId225" display="https://drive.google.com/drive/folders/1xo3JI8FBV3Q9_v4mXivLAOzjnGI1gIeg"/>
    <hyperlink ref="P391" r:id="rId226" display="a.biancoqbue.edu.ar"/>
    <hyperlink ref="AA391" r:id="rId227" display="https://docs.google.com/spreadsheets/d/1DhIFJ6SlT95Zqa_mQ6e8Ugz1Ez5cFZ01EbxHdjlxPCI/edit?usp=drivesdk"/>
    <hyperlink ref="AB391" r:id="rId228" display="https://drive.google.com/drive/folders/1xo3JI8FBV3Q9_v4mXivLAOzjnGI1gIeg"/>
    <hyperlink ref="AA392" r:id="rId229" display="https://docs.google.com/spreadsheets/d/1_DX7U8380aPWL4OhgYFnXX6mk5xIKabW6S5cQPae2Xk/edit?usp=drivesdk"/>
    <hyperlink ref="AB392" r:id="rId230" display="https://drive.google.com/drive/folders/1xo3JI8FBV3Q9_v4mXivLAOzjnGI1gIeg"/>
    <hyperlink ref="AA393" r:id="rId231" display="https://docs.google.com/spreadsheets/d/1IbmSt7SK5GdBSzeKdi7zTxqBCzrxlwKfhUV09B0zNy8/edit?usp=drivesdk"/>
    <hyperlink ref="AB393" r:id="rId232" display="https://drive.google.com/drive/folders/1xo3JI8FBV3Q9_v4mXivLAOzjnGI1gIeg"/>
    <hyperlink ref="AA394" r:id="rId233" display="https://docs.google.com/spreadsheets/d/1oUFJ0bRBfoeHV28g1TfMqk-ruygqCGZvJ0pfaEupNOE/edit?usp=drivesdk"/>
    <hyperlink ref="AB394" r:id="rId234" display="https://drive.google.com/drive/folders/1xo3JI8FBV3Q9_v4mXivLAOzjnGI1gIeg"/>
    <hyperlink ref="AA395" r:id="rId235" display="https://docs.google.com/spreadsheets/d/1TPQytnC51B_XFysI4pDeCVmodRU31YLmFquI_g8e9iU/edit?usp=drivesdk"/>
    <hyperlink ref="AB395" r:id="rId236" display="https://drive.google.com/drive/folders/1xo3JI8FBV3Q9_v4mXivLAOzjnGI1gIeg"/>
    <hyperlink ref="AA396" r:id="rId237" display="https://docs.google.com/spreadsheets/d/1Y-_aDL7ykrRUyt_6Q8IGGBPgskC0KTQKGG4L7206zN8/edit?usp=drivesdk"/>
    <hyperlink ref="AB396" r:id="rId238" display="https://drive.google.com/drive/folders/1xo3JI8FBV3Q9_v4mXivLAOzjnGI1gIeg"/>
    <hyperlink ref="AA397" r:id="rId239" display="https://docs.google.com/spreadsheets/d/1kbBXmYJEM0VUvqHe8sVQt6FnG6ZqD9dJCJosmrW0m0M/edit?usp=drivesdk"/>
    <hyperlink ref="AB397" r:id="rId240" display="https://drive.google.com/drive/folders/1xo3JI8FBV3Q9_v4mXivLAOzjnGI1gIeg"/>
    <hyperlink ref="AA398" r:id="rId241" display="https://docs.google.com/spreadsheets/d/1s8Vh-xM9gR2ezn0O2RIWXgdEfJ4Wmek8e30rD_2AOnk/edit?usp=drivesdk"/>
    <hyperlink ref="AB398" r:id="rId242" display="https://drive.google.com/drive/folders/1xo3JI8FBV3Q9_v4mXivLAOzjnGI1gIeg"/>
    <hyperlink ref="AA399" r:id="rId243" display="https://docs.google.com/spreadsheets/d/1pfo_6BxuBTiTp4tJ0_BIvDi1EdIs-FrSletCJw0G-nU/edit?usp=drivesdk"/>
    <hyperlink ref="AB399" r:id="rId244" display="https://drive.google.com/drive/folders/1xo3JI8FBV3Q9_v4mXivLAOzjnGI1gIeg"/>
    <hyperlink ref="AA400" r:id="rId245" display="https://docs.google.com/spreadsheets/d/1bgsBIwGgTuYo7ckng55n11_3mFQz_8xkb-1IL-OgEmo/edit?usp=drivesdk"/>
    <hyperlink ref="AB400" r:id="rId246" display="https://drive.google.com/drive/folders/1xo3JI8FBV3Q9_v4mXivLAOzjnGI1gIeg"/>
    <hyperlink ref="AA401" r:id="rId247" display="https://docs.google.com/spreadsheets/d/1Kk1H06h97RbSv4aukoVtZDk23JL3ut9zAuSznhIBeNI/edit?usp=drivesdk"/>
    <hyperlink ref="AB401" r:id="rId248" display="https://drive.google.com/drive/folders/1xo3JI8FBV3Q9_v4mXivLAOzjnGI1gIeg"/>
    <hyperlink ref="AA402" r:id="rId249" display="https://docs.google.com/spreadsheets/d/1ra2BE4B6j1EVmRA1nULOXZJ7eCml7CDvzyhbcPR61eg/edit?usp=drivesdk"/>
    <hyperlink ref="AB402" r:id="rId250" display="https://drive.google.com/drive/folders/1xo3JI8FBV3Q9_v4mXivLAOzjnGI1gIeg"/>
    <hyperlink ref="AA403" r:id="rId251" display="https://docs.google.com/spreadsheets/d/1LhfPpNTiBvTakEM8KaNr4t0yt8fIBpScTFwdNJIIolw/edit?usp=drivesdk"/>
    <hyperlink ref="AB403" r:id="rId252" display="https://drive.google.com/drive/folders/1xo3JI8FBV3Q9_v4mXivLAOzjnGI1gIeg"/>
    <hyperlink ref="AA404" r:id="rId253" display="https://docs.google.com/spreadsheets/d/1Ek04S6ByZ3KGI4Xla_kA6kSIPgp5unKentIjZxxiknk/edit?usp=drivesdk"/>
    <hyperlink ref="AB404" r:id="rId254" display="https://drive.google.com/drive/folders/1xo3JI8FBV3Q9_v4mXivLAOzjnGI1gIeg"/>
    <hyperlink ref="AA405" r:id="rId255" display="https://docs.google.com/spreadsheets/d/1OVTPeFvCb2bU3hb6oLBwX3eCz4Qchvj1YiRKioE4Dsk/edit?usp=drivesdk"/>
    <hyperlink ref="AB405" r:id="rId256" display="https://drive.google.com/drive/folders/1xo3JI8FBV3Q9_v4mXivLAOzjnGI1gIeg"/>
    <hyperlink ref="AA406" r:id="rId257" display="https://docs.google.com/spreadsheets/d/1o9wZCp3uZ1u_vlz74B4u0lGSrFF8EW_MKIKX8AjfnVE/edit?usp=drivesdk"/>
    <hyperlink ref="AB406" r:id="rId258" display="https://drive.google.com/drive/folders/1xo3JI8FBV3Q9_v4mXivLAOzjnGI1gIeg"/>
    <hyperlink ref="AA407" r:id="rId259" display="https://docs.google.com/spreadsheets/d/1vScHdoQOqnE2F9-hk1VnAMe1MsoREjDt9dqsrlXgHcQ/edit?usp=drivesdk"/>
    <hyperlink ref="AB407" r:id="rId260" display="https://drive.google.com/drive/folders/1xo3JI8FBV3Q9_v4mXivLAOzjnGI1gIeg"/>
    <hyperlink ref="AA408" r:id="rId261" display="https://docs.google.com/spreadsheets/d/1J4OOdZWR2nZxyZldsBsv-XKfiXHSiIJdSu5ZCJY3Pcw/edit?usp=drivesdk"/>
    <hyperlink ref="AB408" r:id="rId262" display="https://drive.google.com/drive/folders/1xo3JI8FBV3Q9_v4mXivLAOzjnGI1gIeg"/>
    <hyperlink ref="AA409" r:id="rId263" display="https://docs.google.com/spreadsheets/d/1UBmOsAAyjgogNY9pGyRLnJNiWD74Gc4Q3EQ8hHZuiJk/edit?usp=drivesdk"/>
    <hyperlink ref="AB409" r:id="rId264" display="https://drive.google.com/drive/folders/1xo3JI8FBV3Q9_v4mXivLAOzjnGI1gIeg"/>
    <hyperlink ref="AA410" r:id="rId265" display="https://docs.google.com/spreadsheets/d/12tu-w7JcXSbvjIRgFbrb0A28E3yPmV15rXbLHtStJ48/edit?usp=drivesdk"/>
    <hyperlink ref="AB410" r:id="rId266" display="https://drive.google.com/drive/folders/1xo3JI8FBV3Q9_v4mXivLAOzjnGI1gIeg"/>
    <hyperlink ref="AA411" r:id="rId267" display="https://docs.google.com/spreadsheets/d/1vKrAl4dDVrPEkhtJeSP4UwqPJVdXx2gv8JWkFaIldbM/edit?usp=drivesdk"/>
    <hyperlink ref="AB411" r:id="rId268" display="https://drive.google.com/drive/folders/1IPo3mfxu4RGASGQfvaUI0Vf4x5Tn32eD"/>
    <hyperlink ref="AA412" r:id="rId269" display="https://docs.google.com/spreadsheets/d/13xyjVlOsJ3L4sIhtAjGQSLAFYojFLQo3crVwKvdamQI/edit?usp=drivesdk"/>
    <hyperlink ref="AB412" r:id="rId270" display="https://drive.google.com/drive/folders/1IPo3mfxu4RGASGQfvaUI0Vf4x5Tn32eD"/>
    <hyperlink ref="AA413" r:id="rId271" display="https://docs.google.com/spreadsheets/d/13qbxjTFQHphhDAM_MyYydnlpIevcfv_XxRnYcM9CrGM/edit?usp=drivesdk"/>
    <hyperlink ref="AB413" r:id="rId272" display="https://drive.google.com/drive/folders/1IPo3mfxu4RGASGQfvaUI0Vf4x5Tn32eD"/>
    <hyperlink ref="AA414" r:id="rId273" display="https://docs.google.com/spreadsheets/d/1MQHEVwqELA2fMk3oYWO_MwZ8-7UhlVWOCRmvBvqZmMQ/edit?usp=drivesdk"/>
    <hyperlink ref="AB414" r:id="rId274" display="https://drive.google.com/drive/folders/1IPo3mfxu4RGASGQfvaUI0Vf4x5Tn32eD"/>
    <hyperlink ref="AA415" r:id="rId275" display="https://docs.google.com/spreadsheets/d/1fv6SWfryJvl0xz2n6PZ9vcp1sNE0TuiN1uWv3VnAQDc/edit?usp=drivesdk"/>
    <hyperlink ref="AB415" r:id="rId276" display="https://drive.google.com/drive/folders/1IPo3mfxu4RGASGQfvaUI0Vf4x5Tn32eD"/>
    <hyperlink ref="AA416" r:id="rId277" display="https://docs.google.com/spreadsheets/d/1RNALD2_DTch6Fcd-xN_212iyzxL1hgS1_pyMQ-hF_Ic/edit?usp=drivesdk"/>
    <hyperlink ref="AB416" r:id="rId278" display="https://drive.google.com/drive/folders/1IPo3mfxu4RGASGQfvaUI0Vf4x5Tn32eD"/>
    <hyperlink ref="AA417" r:id="rId279" display="https://docs.google.com/spreadsheets/d/1gO7rrwt-N0FjFIfVwPciF3Hq12suU52ffJ-uZLcmIOg/edit?usp=drivesdk"/>
    <hyperlink ref="AB417" r:id="rId280" display="https://drive.google.com/drive/folders/1IPo3mfxu4RGASGQfvaUI0Vf4x5Tn32eD"/>
    <hyperlink ref="AA418" r:id="rId281" display="https://docs.google.com/spreadsheets/d/1N3KHO7ORaL7NdYAIHrRUWADVPttTs4KJbmgqJaGVxn4/edit?usp=drivesdk"/>
    <hyperlink ref="AB418" r:id="rId282" display="https://drive.google.com/drive/folders/1IPo3mfxu4RGASGQfvaUI0Vf4x5Tn32eD"/>
    <hyperlink ref="AA419" r:id="rId283" display="https://docs.google.com/spreadsheets/d/1Oil1jsHs4zjX3B8EEEY94MlbKnZBpmwdMYac1gw8Wtw/edit?usp=drivesdk"/>
    <hyperlink ref="AB419" r:id="rId284" display="https://drive.google.com/drive/folders/1IPo3mfxu4RGASGQfvaUI0Vf4x5Tn32eD"/>
    <hyperlink ref="AA420" r:id="rId285" display="https://docs.google.com/spreadsheets/d/1W7LER4r5mh1iONXBEknrRP5jjJfPUJjMu3AaXgpWw1s/edit?usp=drivesdk"/>
    <hyperlink ref="AB420" r:id="rId286" display="https://drive.google.com/drive/folders/1IPo3mfxu4RGASGQfvaUI0Vf4x5Tn32eD"/>
    <hyperlink ref="AA421" r:id="rId287" display="https://docs.google.com/spreadsheets/d/1kp1I3MKGFQsJU1sdM_gqbq6fFtfPyXdy6IkmV6ZcRHk/edit?usp=drivesdk"/>
    <hyperlink ref="AB421" r:id="rId288" display="https://drive.google.com/drive/folders/1IPo3mfxu4RGASGQfvaUI0Vf4x5Tn32eD"/>
    <hyperlink ref="AA422" r:id="rId289" display="https://docs.google.com/spreadsheets/d/12tpLqxiCDVWr98mq6UhZn34g0LLEv3cL-RhCRItEVWY/edit?usp=drivesdk"/>
    <hyperlink ref="AB422" r:id="rId290" display="https://drive.google.com/drive/folders/1IPo3mfxu4RGASGQfvaUI0Vf4x5Tn32eD"/>
    <hyperlink ref="AA423" r:id="rId291" display="https://docs.google.com/spreadsheets/d/19oNmoCgUfYvmQmbcjM_-ohWK58Ya1fURUSL17tASUPY/edit?usp=drivesdk"/>
    <hyperlink ref="AB423" r:id="rId292" display="https://drive.google.com/drive/folders/1IPo3mfxu4RGASGQfvaUI0Vf4x5Tn32eD"/>
    <hyperlink ref="AA424" r:id="rId293" display="https://docs.google.com/spreadsheets/d/1SMw8IoGXwduJfMt9qUybBaXFNY3NjsUqUvIaWR2p6bc/edit?usp=drivesdk"/>
    <hyperlink ref="AB424" r:id="rId294" display="https://drive.google.com/drive/folders/1IPo3mfxu4RGASGQfvaUI0Vf4x5Tn32eD"/>
    <hyperlink ref="AA425" r:id="rId295" display="https://docs.google.com/spreadsheets/d/1sCwxUQtGvZv2Xm7GALM1f0w3_rE7RlHSZZhIWox_gQs/edit?usp=drivesdk"/>
    <hyperlink ref="AB425" r:id="rId296" display="https://drive.google.com/drive/folders/1IPo3mfxu4RGASGQfvaUI0Vf4x5Tn32eD"/>
    <hyperlink ref="AA426" r:id="rId297" display="https://docs.google.com/spreadsheets/d/1Ytp31iExI2L5vxN98XyvMPr2bKXne2DkGKzfDqcMBOA/edit?usp=drivesdk"/>
    <hyperlink ref="AB426" r:id="rId298" display="https://drive.google.com/drive/folders/1IPo3mfxu4RGASGQfvaUI0Vf4x5Tn32eD"/>
    <hyperlink ref="AA427" r:id="rId299" display="https://docs.google.com/spreadsheets/d/1JM2At41nvRQg5Snp2rj49CewpqWIf7BUyQjirjQFI0g/edit?usp=drivesdk"/>
    <hyperlink ref="AB427" r:id="rId300" display="https://drive.google.com/drive/folders/1IPo3mfxu4RGASGQfvaUI0Vf4x5Tn32eD"/>
    <hyperlink ref="AA428" r:id="rId301" display="https://docs.google.com/spreadsheets/d/1Q-3tNbSAyMilgtQE-i6btoQb4i80WhwS6vcu7dysLzU/edit?usp=drivesdk"/>
    <hyperlink ref="AB428" r:id="rId302" display="https://drive.google.com/drive/folders/1IPo3mfxu4RGASGQfvaUI0Vf4x5Tn32eD"/>
    <hyperlink ref="AA429" r:id="rId303" display="https://docs.google.com/spreadsheets/d/1eTbfwpbZpD_PbRIBCUH-MrGJMP705y7pQNgFt7W8zsU/edit?usp=drivesdk"/>
    <hyperlink ref="AB429" r:id="rId304" display="https://drive.google.com/drive/folders/1IPo3mfxu4RGASGQfvaUI0Vf4x5Tn32eD"/>
    <hyperlink ref="AA430" r:id="rId305" display="https://docs.google.com/spreadsheets/d/1R2ucccMXSsOiBnd3d9PWoWqzRJMibxbhAYS-dbhmq1c/edit?usp=drivesdk"/>
    <hyperlink ref="AB430" r:id="rId306" display="https://drive.google.com/drive/folders/1IPo3mfxu4RGASGQfvaUI0Vf4x5Tn32eD"/>
    <hyperlink ref="AA431" r:id="rId307" display="https://docs.google.com/spreadsheets/d/1bD2HH7qidgPaBoHVCOTXETmO2oj96q7ixd_Rwm1CMyI/edit?usp=drivesdk"/>
    <hyperlink ref="AB431" r:id="rId308" display="https://drive.google.com/drive/folders/1IPo3mfxu4RGASGQfvaUI0Vf4x5Tn32eD"/>
    <hyperlink ref="AA432" r:id="rId309" display="https://docs.google.com/spreadsheets/d/1B3ojzK1HzAUGiWieb6_3JrFU-wdQXJQ-3DUSMM6vKA0/edit?usp=drivesdk"/>
    <hyperlink ref="AB432" r:id="rId310" display="https://drive.google.com/drive/folders/1IPo3mfxu4RGASGQfvaUI0Vf4x5Tn32eD"/>
    <hyperlink ref="AA433" r:id="rId311" display="https://docs.google.com/spreadsheets/d/1RO9GFLLBzNm1nJ4SuKe4wNGShvkTskxs0IDeNJqWMjk/edit?usp=drivesdk"/>
    <hyperlink ref="AB433" r:id="rId312" display="https://drive.google.com/drive/folders/1IPo3mfxu4RGASGQfvaUI0Vf4x5Tn32eD"/>
    <hyperlink ref="AA434" r:id="rId313" display="https://docs.google.com/spreadsheets/d/1OPh7J_dhsihQI0ocNN26ezaEf5h6DItJ45ohV1Oj3v8/edit?usp=drivesdk"/>
    <hyperlink ref="AB434" r:id="rId314" display="https://drive.google.com/drive/folders/1IPo3mfxu4RGASGQfvaUI0Vf4x5Tn32eD"/>
    <hyperlink ref="AA435" r:id="rId315" display="https://docs.google.com/spreadsheets/d/1JnKhot_e5fORT8W6DwjaI4TkcUUoy1bMazHPQyqFpVs/edit?usp=drivesdk"/>
    <hyperlink ref="AB435" r:id="rId316" display="https://drive.google.com/drive/folders/1IPo3mfxu4RGASGQfvaUI0Vf4x5Tn32eD"/>
    <hyperlink ref="AA436" r:id="rId317" display="https://docs.google.com/spreadsheets/d/1wS37Jr3q2ayUe-GZlqubk7sSHfkGbtHv28LACmlQaF0/edit?usp=drivesdk"/>
    <hyperlink ref="AB436" r:id="rId318" display="https://drive.google.com/drive/folders/1jFOdp-kX6VAoZHXWpN_WNDGv8nYy3GAT"/>
    <hyperlink ref="AA437" r:id="rId319" display="https://docs.google.com/spreadsheets/d/17l1uWNG4Zpxowf4fpXMy2MVX4v02tDW0JVayeSFKjp0/edit?usp=drivesdk"/>
    <hyperlink ref="AB437" r:id="rId320" display="https://drive.google.com/drive/folders/1jFOdp-kX6VAoZHXWpN_WNDGv8nYy3GAT"/>
    <hyperlink ref="AA438" r:id="rId321" display="https://docs.google.com/spreadsheets/d/13ky_7ZJIlx1EJdwdCSzwtNGlSbaGt2_1MjEVJOliMmo/edit?usp=drivesdk"/>
    <hyperlink ref="AB438" r:id="rId322" display="https://drive.google.com/drive/folders/1jFOdp-kX6VAoZHXWpN_WNDGv8nYy3GAT"/>
    <hyperlink ref="AA439" r:id="rId323" display="https://docs.google.com/spreadsheets/d/1FND6Z5P66s5zkAr4aSa6O9pXqLvGOvQgCR8EMjbG5xU/edit?usp=drivesdk"/>
    <hyperlink ref="AB439" r:id="rId324" display="https://drive.google.com/drive/folders/1jFOdp-kX6VAoZHXWpN_WNDGv8nYy3GAT"/>
    <hyperlink ref="AA440" r:id="rId325" display="https://docs.google.com/spreadsheets/d/1wrHxP58R9PoJxL-nXErcZkhXPpXcX_Y2e3p2qZ5ef60/edit?usp=drivesdk"/>
    <hyperlink ref="AB440" r:id="rId326" display="https://drive.google.com/drive/folders/1jFOdp-kX6VAoZHXWpN_WNDGv8nYy3GAT"/>
    <hyperlink ref="AA441" r:id="rId327" display="https://docs.google.com/spreadsheets/d/1Em7p9A2OKuyJG2TbYQMa7zugF-8qCvBI7ksOX0-AFzM/edit?usp=drivesdk"/>
    <hyperlink ref="AB441" r:id="rId328" display="https://drive.google.com/drive/folders/1jFOdp-kX6VAoZHXWpN_WNDGv8nYy3GAT"/>
    <hyperlink ref="AA442" r:id="rId329" display="https://docs.google.com/spreadsheets/d/1ccJ9xfAWFyd4fr-16IjNfGDlw56-UUYI1H02F0i9kME/edit?usp=drivesdk"/>
    <hyperlink ref="AB442" r:id="rId330" display="https://drive.google.com/drive/folders/1jFOdp-kX6VAoZHXWpN_WNDGv8nYy3GAT"/>
    <hyperlink ref="AA443" r:id="rId331" display="https://docs.google.com/spreadsheets/d/1ANyGtb7EZw4reFo9lV905bwWAD7KM8jkU2NHkUJ7btI/edit?usp=drivesdk"/>
    <hyperlink ref="AB443" r:id="rId332" display="https://drive.google.com/drive/folders/1jFOdp-kX6VAoZHXWpN_WNDGv8nYy3GAT"/>
    <hyperlink ref="AA444" r:id="rId333" display="https://docs.google.com/spreadsheets/d/1XSXeHakdAViTuaFzUjPDYC9ejkX17hLy5yoz03bm_kA/edit?usp=drivesdk"/>
    <hyperlink ref="AB444" r:id="rId334" display="https://drive.google.com/drive/folders/1jFOdp-kX6VAoZHXWpN_WNDGv8nYy3GAT"/>
    <hyperlink ref="AA445" r:id="rId335" display="https://docs.google.com/spreadsheets/d/1XJa-B3PvNZMJbtRma0-Y7NYz4T9s7EfsVAPZbHIey0w/edit?usp=drivesdk"/>
    <hyperlink ref="AB445" r:id="rId336" display="https://drive.google.com/drive/folders/1jFOdp-kX6VAoZHXWpN_WNDGv8nYy3GAT"/>
    <hyperlink ref="AA446" r:id="rId337" display="https://docs.google.com/spreadsheets/d/1uihNIp9ryCP4DpCp-wR2HcsASiCn3vN3HlSJF-lgXIY/edit?usp=drivesdk"/>
    <hyperlink ref="AB446" r:id="rId338" display="https://drive.google.com/drive/folders/1jFOdp-kX6VAoZHXWpN_WNDGv8nYy3GAT"/>
    <hyperlink ref="AA447" r:id="rId339" display="https://docs.google.com/spreadsheets/d/1_3UFV1dJ7PsMJtrVAXX1geZrGT4AHY5htES_aV_KSwE/edit?usp=drivesdk"/>
    <hyperlink ref="AB447" r:id="rId340" display="https://drive.google.com/drive/folders/1jFOdp-kX6VAoZHXWpN_WNDGv8nYy3GAT"/>
    <hyperlink ref="AA448" r:id="rId341" display="https://docs.google.com/spreadsheets/d/1b6EJAEjYzBO1QBt6NF8iJjFewqwy4wHI-qQyPUaZcQs/edit?usp=drivesdk"/>
    <hyperlink ref="AB448" r:id="rId342" display="https://drive.google.com/drive/folders/1jFOdp-kX6VAoZHXWpN_WNDGv8nYy3GAT"/>
    <hyperlink ref="AA449" r:id="rId343" display="https://docs.google.com/spreadsheets/d/1uLo0kt8D-FNGQrcXDy-VWudsfvcVP13hHLQKTfbz-GE/edit?usp=drivesdk"/>
    <hyperlink ref="AB449" r:id="rId344" display="https://drive.google.com/drive/folders/1jFOdp-kX6VAoZHXWpN_WNDGv8nYy3GAT"/>
    <hyperlink ref="AA450" r:id="rId345" display="https://docs.google.com/spreadsheets/d/1nhJ4v67vvNSgs_0gT1pkIPP0T3yGFG8wp6-K1ybk_ys/edit?usp=drivesdk"/>
    <hyperlink ref="AB450" r:id="rId346" display="https://drive.google.com/drive/folders/1mBgXM_yc26TPMh14td5pbN54-jdzAX5v"/>
    <hyperlink ref="AA451" r:id="rId347" display="https://docs.google.com/spreadsheets/d/1SfPBHqRFVscni2DDaXTIVfuDtcnxS2V2hp0_tWgPCMI/edit?usp=drivesdk"/>
    <hyperlink ref="AB451" r:id="rId348" display="https://drive.google.com/drive/folders/1lHoiz6Tu3hWQw8aPm0mn4HKuiiCV-bWl"/>
    <hyperlink ref="AA452" r:id="rId349" display="https://docs.google.com/spreadsheets/d/13y38-LactJMmrM2-PSWIIpLVJUnK-w9HVuAIZQKCrE8/edit?usp=drivesdk"/>
    <hyperlink ref="AB452" r:id="rId350" display="https://drive.google.com/drive/folders/1lHoiz6Tu3hWQw8aPm0mn4HKuiiCV-bWl"/>
    <hyperlink ref="AA453" r:id="rId351" display="https://docs.google.com/spreadsheets/d/1BMuIKm13mbtLfnsLXDiAHUiQ0H25MFCFk0Rnrq7TzJE/edit?usp=drivesdk"/>
    <hyperlink ref="AB453" r:id="rId352" display="https://drive.google.com/drive/folders/1lHoiz6Tu3hWQw8aPm0mn4HKuiiCV-bWl"/>
    <hyperlink ref="AA454" r:id="rId353" display="https://docs.google.com/spreadsheets/d/1PTThEhyiMBZUM_xZvGcYnIouI_ogwpZgs6wKmIyDRJE/edit?usp=drivesdk"/>
    <hyperlink ref="AB454" r:id="rId354" display="https://drive.google.com/drive/folders/1lHoiz6Tu3hWQw8aPm0mn4HKuiiCV-bWl"/>
    <hyperlink ref="AA455" r:id="rId355" display="https://docs.google.com/spreadsheets/d/1faaGVEb0DnweCF968UjxNvzY6B8k9JAGPBSIfzBaAeU/edit?usp=drivesdk"/>
    <hyperlink ref="AB455" r:id="rId356" display="https://drive.google.com/drive/folders/1lHoiz6Tu3hWQw8aPm0mn4HKuiiCV-bWl"/>
    <hyperlink ref="AA456" r:id="rId357" display="https://docs.google.com/spreadsheets/d/18gXpstAiq-3clD9Ppo3zwJCrJ8SOhiZ2UZIt37wdt60/edit?usp=drivesdk"/>
    <hyperlink ref="AB456" r:id="rId358" display="https://drive.google.com/drive/folders/1lHoiz6Tu3hWQw8aPm0mn4HKuiiCV-bWl"/>
    <hyperlink ref="AA457" r:id="rId359" display="https://docs.google.com/spreadsheets/d/1EeJLQe53RCle_2e74YlC29JGTTWdO7oiAa_Oa4aJt3I/edit?usp=drivesdk"/>
    <hyperlink ref="AB457" r:id="rId360" display="https://drive.google.com/drive/folders/1lHoiz6Tu3hWQw8aPm0mn4HKuiiCV-bWl"/>
    <hyperlink ref="AA458" r:id="rId361" display="https://docs.google.com/spreadsheets/d/1sZcc7QkGGWuw_6vqasVyDpYiIvuy-FJS-t1FcbNic5s/edit?usp=drivesdk"/>
    <hyperlink ref="AB458" r:id="rId362" display="https://drive.google.com/drive/folders/1lHoiz6Tu3hWQw8aPm0mn4HKuiiCV-bWl"/>
    <hyperlink ref="AA459" r:id="rId363" display="https://docs.google.com/spreadsheets/d/1x4djfln55ZtL3gaji7Cg43ocn1UM6LjxM8Ce3CtgRzU/edit?usp=drivesdk"/>
    <hyperlink ref="AB459" r:id="rId364" display="https://drive.google.com/drive/folders/1lHoiz6Tu3hWQw8aPm0mn4HKuiiCV-bWl"/>
    <hyperlink ref="AA460" r:id="rId365" display="https://docs.google.com/spreadsheets/d/1ULXpe4kjqyQqlY64HT32g3QTIhxdRs9ESSg5mXrbDVE/edit?usp=drivesdk"/>
    <hyperlink ref="AB460" r:id="rId366" display="https://drive.google.com/drive/folders/1lHoiz6Tu3hWQw8aPm0mn4HKuiiCV-bWl"/>
    <hyperlink ref="AA461" r:id="rId367" display="https://docs.google.com/spreadsheets/d/1TanKTUfa8XAPvfJN8yN54I2x2xc0s1hLJ1-hl1XaXDs/edit?usp=drivesdk"/>
    <hyperlink ref="AB461" r:id="rId368" display="https://drive.google.com/drive/folders/1lHoiz6Tu3hWQw8aPm0mn4HKuiiCV-bWl"/>
    <hyperlink ref="AA462" r:id="rId369" display="https://docs.google.com/spreadsheets/d/1JrPw1Rrg9hIuCfCmOpqep-FsH23Td_upHfuU6pQcJB0/edit?usp=drivesdk"/>
    <hyperlink ref="AB462" r:id="rId370" display="https://drive.google.com/drive/folders/1lHoiz6Tu3hWQw8aPm0mn4HKuiiCV-bWl"/>
    <hyperlink ref="AA463" r:id="rId371" display="https://docs.google.com/spreadsheets/d/19VGKbDbKPw85Ew2uzQra8lxe3IU-vMLFPzZiZYadzvI/edit?usp=drivesdk"/>
    <hyperlink ref="AB463" r:id="rId372" display="https://drive.google.com/drive/folders/1lHoiz6Tu3hWQw8aPm0mn4HKuiiCV-bWl"/>
    <hyperlink ref="AA464" r:id="rId373" display="https://docs.google.com/spreadsheets/d/1uipBphZgKKWWx5MovVbi5RjlwlrW_AJNu3Tmfm4_kP0/edit?usp=drivesdk"/>
    <hyperlink ref="AB464" r:id="rId374" display="https://drive.google.com/drive/folders/1lHoiz6Tu3hWQw8aPm0mn4HKuiiCV-bWl"/>
    <hyperlink ref="AA465" r:id="rId375" display="https://docs.google.com/spreadsheets/d/11yV3ebK1cisa3SKkOaktFr-vEl2aHXPzNlgvrSVXBbQ/edit?usp=drivesdk"/>
    <hyperlink ref="AB465" r:id="rId376" display="https://drive.google.com/drive/folders/1bpud7tr7RoyTw8hxBGHeW8_tcrFhCzB1"/>
    <hyperlink ref="AA466" r:id="rId377" display="https://docs.google.com/spreadsheets/d/1ISJ2WlSza-RdT3nPZ3EY3BtnVJu8zBqe36wdkOcgK9s/edit?usp=drivesdk"/>
    <hyperlink ref="AB466" r:id="rId378" display="https://drive.google.com/drive/folders/1kNCBRERbhx9D9oexlnLApZI7TFVEOs6Q"/>
    <hyperlink ref="AA467" r:id="rId379" display="https://docs.google.com/spreadsheets/d/1Nc-g1dktL7r4nQRqHYxe8DOritxQAYjZvmzSA_2xk-U/edit?usp=drivesdk"/>
    <hyperlink ref="AB467" r:id="rId380" display="https://drive.google.com/drive/folders/1kNCBRERbhx9D9oexlnLApZI7TFVEOs6Q"/>
    <hyperlink ref="AA468" r:id="rId381" display="https://docs.google.com/spreadsheets/d/1eBsJUqsqERCGzLm0JwfrDZOgAozi__VXIaC1yNbC7aw/edit?usp=drivesdk"/>
    <hyperlink ref="AB468" r:id="rId382" display="https://drive.google.com/drive/folders/1kNCBRERbhx9D9oexlnLApZI7TFVEOs6Q"/>
    <hyperlink ref="AA469" r:id="rId383" display="https://docs.google.com/spreadsheets/d/1mqGhRWRRIStRxPgl3sUYMnqC36nzcL01B1htyauxBuk/edit?usp=drivesdk"/>
    <hyperlink ref="AB469" r:id="rId384" display="https://drive.google.com/drive/folders/1kNCBRERbhx9D9oexlnLApZI7TFVEOs6Q"/>
    <hyperlink ref="AA470" r:id="rId385" display="https://docs.google.com/spreadsheets/d/1816fenKuHQgX4inQhvE0Hs6we6ACVn7K4KjNPAqVe0E/edit?usp=drivesdk"/>
    <hyperlink ref="AB470" r:id="rId386" display="https://drive.google.com/drive/folders/1nGJ0k9Zza3vtygiVL6zrOUdtvC795Kt4"/>
    <hyperlink ref="AA471" r:id="rId387" display="https://docs.google.com/spreadsheets/d/1bfFQd6hYZWtC4SWMGb6S9w4FceolFYbGsfHuqf8_Krw/edit?usp=drivesdk"/>
    <hyperlink ref="AB471" r:id="rId388" display="https://drive.google.com/drive/folders/1nGJ0k9Zza3vtygiVL6zrOUdtvC795Kt4"/>
    <hyperlink ref="AA472" r:id="rId389" display="https://docs.google.com/spreadsheets/d/1xp2HVyNxe1bObo-UwP06LCy-tOH4k2W0QkvT87Z6ZyM/edit?usp=drivesdk"/>
    <hyperlink ref="AB472" r:id="rId390" display="https://drive.google.com/drive/folders/1nGJ0k9Zza3vtygiVL6zrOUdtvC795Kt4"/>
    <hyperlink ref="AA473" r:id="rId391" display="https://docs.google.com/spreadsheets/d/1axasIfbDDcUSd494aILA6UQNK4qO-c2fNpca1xJadYQ/edit?usp=drivesdk"/>
    <hyperlink ref="AB473" r:id="rId392" display="https://drive.google.com/drive/folders/1nGJ0k9Zza3vtygiVL6zrOUdtvC795Kt4"/>
    <hyperlink ref="AA474" r:id="rId393" display="https://docs.google.com/spreadsheets/d/1-oLjAF-Cf0iXb3XlLs-1MlBzL596snn1OJh6-f-np40/edit?usp=drivesdk"/>
    <hyperlink ref="AB474" r:id="rId394" display="https://drive.google.com/drive/folders/1nGJ0k9Zza3vtygiVL6zrOUdtvC795Kt4"/>
    <hyperlink ref="AA475" r:id="rId395" display="https://docs.google.com/spreadsheets/d/1drvyNORhub0lyHo8riQahLIABK_eljcSMFccl0EFqbI/edit?usp=drivesdk"/>
    <hyperlink ref="AB475" r:id="rId396" display="https://drive.google.com/drive/folders/1aCPHvXyuuGdIgipWP2RIEyk-TUPJHynz"/>
    <hyperlink ref="AA476" r:id="rId397" display="https://docs.google.com/spreadsheets/d/1kQS76NersyuyGyAWQOuHeHLLmJXSWHjXfEfM2AuGX4M/edit?usp=drivesdk"/>
    <hyperlink ref="AB476" r:id="rId398" display="https://drive.google.com/drive/folders/1eybgu-dtXO-QRSJloTe3UrdqxthysanV"/>
    <hyperlink ref="AA477" r:id="rId399" display="https://docs.google.com/spreadsheets/d/1JpWruXqglS5KBJ6VjvaoZowV99HOiCcMPTxcaHDioU0/edit?usp=drivesdk"/>
    <hyperlink ref="AB477" r:id="rId400" display="https://drive.google.com/drive/folders/1R7iz0gmoqTmV-yQLqAg8jz1_Gw7aNA2a"/>
    <hyperlink ref="AA478" r:id="rId401" display="https://docs.google.com/spreadsheets/d/1JpWruXqglS5KBJ6VjvaoZowV99HOiCcMPTxcaHDioU0/edit?usp=drivesdk"/>
    <hyperlink ref="AB478" r:id="rId402" display="https://drive.google.com/drive/folders/1R7iz0gmoqTmV-yQLqAg8jz1_Gw7aNA2a"/>
    <hyperlink ref="AA479" r:id="rId403" display="https://docs.google.com/spreadsheets/d/1dw4myxzJkUgnD9Vsq8X88CHEAhL_4wMp7eSTRETjdzU/edit?usp=drivesdk"/>
    <hyperlink ref="AB479" r:id="rId404" display="https://drive.google.com/drive/folders/1oVZYT1yPNZnXLNdlHXbF_6MVref3-L-C"/>
    <hyperlink ref="AA480" r:id="rId405" display="https://docs.google.com/spreadsheets/d/1X6xc-eppb78kf-81Rfd1ujOJN91jDjs5m0SYKWD0V3w/edit?usp=drivesdk"/>
    <hyperlink ref="AB480" r:id="rId406" display="https://drive.google.com/drive/folders/1oVZYT1yPNZnXLNdlHXbF_6MVref3-L-C"/>
    <hyperlink ref="AA481" r:id="rId407" display="https://docs.google.com/spreadsheets/d/1dsdvsWOAic50oAoptHCCxxpWKjGRjdjN9rGoQ7nA7rc/edit?usp=drivesdk"/>
    <hyperlink ref="AB481" r:id="rId408" display="https://drive.google.com/drive/folders/1oVZYT1yPNZnXLNdlHXbF_6MVref3-L-C"/>
    <hyperlink ref="AA482" r:id="rId409" display="https://docs.google.com/spreadsheets/d/1acXEvq_xc4-39VBmxQ2x2E2vfXASt11_5qIe6NwNQtc/edit?usp=drivesdk"/>
    <hyperlink ref="AB482" r:id="rId410" display="https://drive.google.com/drive/folders/1xo3JI8FBV3Q9_v4mXivLAOzjnGI1gIeg"/>
    <hyperlink ref="AA483" r:id="rId411" display="https://docs.google.com/spreadsheets/d/1lR_hUOK2HrbFDB9HAfX6T-RpF_SLevCOudWJcGrEDQw/edit?usp=drivesdk"/>
    <hyperlink ref="AB483" r:id="rId412" display="https://drive.google.com/drive/folders/1IPo3mfxu4RGASGQfvaUI0Vf4x5Tn32eD"/>
    <hyperlink ref="AA484" r:id="rId413" display="https://docs.google.com/spreadsheets/d/1oPLxMNuIszOw0Hg3ablRkq5ShynX_o9tOdl9yQgCrIM/edit?usp=drivesdk"/>
    <hyperlink ref="AB484" r:id="rId414" display="https://drive.google.com/drive/folders/1jFOdp-kX6VAoZHXWpN_WNDGv8nYy3GAT"/>
    <hyperlink ref="AA485" r:id="rId415" display="https://docs.google.com/spreadsheets/d/1rRIeNCw8tQTFmO9m7yxSUMBhMTA9ZnqJZYA8MBVlMrE/edit?usp=drivesdk"/>
    <hyperlink ref="AB485" r:id="rId416" display="https://drive.google.com/drive/folders/1lHoiz6Tu3hWQw8aPm0mn4HKuiiCV-bWl"/>
    <hyperlink ref="AA486" r:id="rId417" display="https://docs.google.com/spreadsheets/d/10_ub5q1opoB4D9M5uYQOX9O2SYS0PTVWhFJLEcJUjXg/edit?usp=drivesdk"/>
    <hyperlink ref="AB486" r:id="rId418" display="https://drive.google.com/drive/folders/1R5KNC8WZx9VatgzEeBZcNkSuBhovMUgu"/>
    <hyperlink ref="AA487" r:id="rId419" display="https://docs.google.com/spreadsheets/d/1GKkN7y1Y2GvUi_Xnsh_V89SCbkRU2Av5fKSqKivXNB8/edit?usp=drivesdk"/>
    <hyperlink ref="AB487" r:id="rId420" display="https://drive.google.com/drive/folders/1lHoiz6Tu3hWQw8aPm0mn4HKuiiCV-bWl"/>
    <hyperlink ref="AA488" r:id="rId421" display="https://docs.google.com/spreadsheets/d/1MlbAYCEhjKXdXa1QeSJ0p8INlr-A4F1Aoz_ME5Ga2wQ/edit?usp=drivesdk"/>
    <hyperlink ref="AB488" r:id="rId422" display="https://drive.google.com/drive/folders/1xo3JI8FBV3Q9_v4mXivLAOzjnGI1gIeg"/>
    <hyperlink ref="AA489" r:id="rId423" display="https://docs.google.com/spreadsheets/d/1uCHJfBJGNXB1-ElGPxgBMU0ZQMvdAqX6jAC34FXQlmo/edit?usp=drivesdk"/>
    <hyperlink ref="AB489" r:id="rId424" display="https://drive.google.com/drive/folders/1eybgu-dtXO-QRSJloTe3UrdqxthysanV"/>
    <hyperlink ref="AA490" r:id="rId425" display="https://docs.google.com/spreadsheets/d/15ciEncpy8hCSgz1v0BaXbYdfuu_XPLcTg-xgpSvzpOU/edit?usp=drivesdk"/>
    <hyperlink ref="AB490" r:id="rId426" display="https://drive.google.com/drive/folders/1blQh1Ixac08Hzf4RCy3mFJ_yPe3BH0ED"/>
    <hyperlink ref="AA491" r:id="rId427" display="https://docs.google.com/spreadsheets/d/1uBEjCnnhCYDAqo19aSjJp2iPmSVxKX7yytoNFxyu5TA/edit?usp=drivesdk"/>
    <hyperlink ref="AB491" r:id="rId428" display="https://drive.google.com/drive/folders/1xo3JI8FBV3Q9_v4mXivLAOzjnGI1gIeg"/>
    <hyperlink ref="AA492" r:id="rId429" display="https://docs.google.com/spreadsheets/d/1T0uUQkyxOqCZaoC8OoNZmJixaaU6eA-ZxGJ5dX6N8AE/edit?usp=drivesdk"/>
    <hyperlink ref="AB492" r:id="rId430" display="https://drive.google.com/drive/folders/1mUqLjiE2nnO8A0S4EOBgHoY5MwffU1oL"/>
    <hyperlink ref="AA493" r:id="rId431" display="https://docs.google.com/spreadsheets/d/1AFrKhcYy7SdIoaqnJDAF9rlY1MtGD9RxANjXUi2_JSQ/edit?usp=drivesdk"/>
    <hyperlink ref="AB493" r:id="rId432" display="https://drive.google.com/drive/folders/1VtbC3ANLqCxXDw_BqR_SHYEELqpyy98u"/>
    <hyperlink ref="AA494" r:id="rId433" display="https://docs.google.com/spreadsheets/d/1gZNO9d_kWqhnUf5Rg8K7ah7WH4qXBlDsGONpllNjoRk/edit?usp=drivesdk"/>
    <hyperlink ref="AB494" r:id="rId434" display="https://drive.google.com/drive/folders/1oVZYT1yPNZnXLNdlHXbF_6MVref3-L-C"/>
    <hyperlink ref="AA495" r:id="rId435" display="https://docs.google.com/spreadsheets/d/1IdcMxyEtZ7GZDE6n9LQjuhBComHpNaDENUfM0J_aFZ8/edit?usp=drivesdk"/>
    <hyperlink ref="AB495" r:id="rId436" display="https://drive.google.com/drive/folders/1R7iz0gmoqTmV-yQLqAg8jz1_Gw7aNA2a"/>
    <hyperlink ref="AA496" r:id="rId437" display="https://docs.google.com/spreadsheets/d/1PxCqdhsYuclWP4YxINygEEbUk0-3biVI1Bsh0Z-YhJw/edit?usp=drivesdk"/>
    <hyperlink ref="AB496" r:id="rId438" display="https://drive.google.com/drive/folders/1R7iz0gmoqTmV-yQLqAg8jz1_Gw7aNA2a"/>
    <hyperlink ref="AA497" r:id="rId439" display="https://docs.google.com/spreadsheets/d/1wBYARUiy31q5t82h0qYt8USybcER-wyoibwodK8jgPg/edit?usp=drivesdk"/>
    <hyperlink ref="AB497" r:id="rId440" display="https://drive.google.com/drive/folders/1R7iz0gmoqTmV-yQLqAg8jz1_Gw7aNA2a"/>
    <hyperlink ref="AA498" r:id="rId441" display="https://docs.google.com/spreadsheets/d/1b80bO5xz-JP3A2bUaLzpIyGTDKjyeLRYmOywGXwXXSM/edit?usp=drivesdk"/>
    <hyperlink ref="AB498" r:id="rId442" display="https://drive.google.com/drive/folders/1R7iz0gmoqTmV-yQLqAg8jz1_Gw7aNA2a"/>
    <hyperlink ref="AA499" r:id="rId443" display="https://docs.google.com/spreadsheets/d/1b80bO5xz-JP3A2bUaLzpIyGTDKjyeLRYmOywGXwXXSM/edit?usp=drivesdk"/>
    <hyperlink ref="AB499" r:id="rId444" display="https://drive.google.com/drive/folders/1R7iz0gmoqTmV-yQLqAg8jz1_Gw7aNA2a"/>
    <hyperlink ref="AA500" r:id="rId445" display="https://docs.google.com/spreadsheets/d/1UvVrLRDej9983lmZcOPGCZUpzb7qvlO5xDEyn7ov4wI/edit?usp=drivesdk"/>
    <hyperlink ref="AB500" r:id="rId446" display="https://drive.google.com/drive/folders/1eybgu-dtXO-QRSJloTe3UrdqxthysanV"/>
    <hyperlink ref="AA501" r:id="rId447" display="https://docs.google.com/spreadsheets/d/1xuKABIecEdDleyrmaRFrVJS4tTNq40k0wwtbHGJD-KY/edit?usp=drivesdk"/>
    <hyperlink ref="AB501" r:id="rId448" display="https://drive.google.com/drive/folders/18rpwQIP7WIJcExSOQ574qVJNPxP_B6oZ"/>
    <hyperlink ref="AA502" r:id="rId449" display="https://docs.google.com/spreadsheets/d/1agsFf7BM8Q_0lzKzchuTW6aPB1QPWg4CIQ7yQdo_L_w/edit?usp=drive_link"/>
    <hyperlink ref="AB502" r:id="rId450" display="https://drive.google.com/drive/folders/18rpwQIP7WIJcExSOQ574qVJNPxP_B6oZ?usp=drive_link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Q9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J112" activePane="bottomRight" state="frozen"/>
      <selection pane="topLeft" activeCell="A1" activeCellId="0" sqref="A1"/>
      <selection pane="topRight" activeCell="J1" activeCellId="0" sqref="J1"/>
      <selection pane="bottomLeft" activeCell="A112" activeCellId="0" sqref="A112"/>
      <selection pane="bottomRight" activeCell="A2" activeCellId="1" sqref="GI63:GI64 A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9.13"/>
    <col collapsed="false" customWidth="true" hidden="false" outlineLevel="0" max="2" min="2" style="0" width="28.25"/>
    <col collapsed="false" customWidth="true" hidden="false" outlineLevel="0" max="5" min="3" style="0" width="18.63"/>
    <col collapsed="false" customWidth="true" hidden="false" outlineLevel="0" max="6" min="6" style="0" width="13.13"/>
    <col collapsed="false" customWidth="true" hidden="false" outlineLevel="0" max="7" min="7" style="0" width="13.25"/>
    <col collapsed="false" customWidth="true" hidden="false" outlineLevel="0" max="9" min="9" style="0" width="20.51"/>
    <col collapsed="false" customWidth="true" hidden="false" outlineLevel="0" max="10" min="10" style="0" width="19"/>
    <col collapsed="false" customWidth="true" hidden="false" outlineLevel="0" max="11" min="11" style="0" width="23.5"/>
    <col collapsed="false" customWidth="true" hidden="false" outlineLevel="0" max="12" min="12" style="0" width="24.88"/>
  </cols>
  <sheetData>
    <row r="1" customFormat="false" ht="22.5" hidden="false" customHeight="true" outlineLevel="0" collapsed="false">
      <c r="A1" s="17" t="s">
        <v>2293</v>
      </c>
      <c r="B1" s="18" t="s">
        <v>2294</v>
      </c>
      <c r="C1" s="18" t="s">
        <v>33</v>
      </c>
      <c r="D1" s="19" t="s">
        <v>2295</v>
      </c>
      <c r="E1" s="18" t="s">
        <v>2296</v>
      </c>
      <c r="F1" s="18" t="s">
        <v>53</v>
      </c>
      <c r="G1" s="18" t="s">
        <v>2297</v>
      </c>
      <c r="H1" s="20" t="s">
        <v>2298</v>
      </c>
      <c r="I1" s="21" t="s">
        <v>2299</v>
      </c>
      <c r="J1" s="18" t="s">
        <v>2300</v>
      </c>
      <c r="K1" s="18" t="s">
        <v>2301</v>
      </c>
      <c r="L1" s="18" t="s">
        <v>2302</v>
      </c>
      <c r="M1" s="18"/>
      <c r="N1" s="22" t="s">
        <v>2303</v>
      </c>
      <c r="O1" s="23"/>
      <c r="P1" s="24" t="s">
        <v>2304</v>
      </c>
      <c r="Q1" s="24"/>
    </row>
    <row r="2" customFormat="false" ht="22.5" hidden="false" customHeight="true" outlineLevel="0" collapsed="false">
      <c r="A2" s="25"/>
      <c r="B2" s="9"/>
      <c r="C2" s="26"/>
      <c r="D2" s="9"/>
      <c r="E2" s="9"/>
      <c r="F2" s="9"/>
      <c r="G2" s="9"/>
      <c r="H2" s="9"/>
      <c r="I2" s="9"/>
      <c r="J2" s="9"/>
      <c r="K2" s="9"/>
      <c r="L2" s="9"/>
      <c r="M2" s="9"/>
      <c r="N2" s="22" t="s">
        <v>2305</v>
      </c>
      <c r="O2" s="27" t="n">
        <f aca="false">SUMIF(F2:F91,"TD",I2:I91)</f>
        <v>0</v>
      </c>
      <c r="P2" s="24" t="s">
        <v>2305</v>
      </c>
      <c r="Q2" s="28" t="n">
        <f aca="false">SUMIF(F2:F91,"Tn",I2:I91)</f>
        <v>0</v>
      </c>
    </row>
    <row r="3" customFormat="false" ht="22.5" hidden="false" customHeight="true" outlineLevel="0" collapsed="false">
      <c r="A3" s="29"/>
      <c r="B3" s="2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22" t="s">
        <v>2306</v>
      </c>
      <c r="O3" s="27" t="n">
        <f aca="false">SUMIF(F2:F91,"TD",J2:J91)</f>
        <v>0</v>
      </c>
      <c r="P3" s="24" t="s">
        <v>2306</v>
      </c>
      <c r="Q3" s="28" t="n">
        <f aca="false">SUMIF(F2:F91,"Tn",J2:J91)</f>
        <v>0</v>
      </c>
    </row>
    <row r="4" customFormat="false" ht="22.5" hidden="false" customHeight="true" outlineLevel="0" collapsed="false">
      <c r="A4" s="25"/>
      <c r="B4" s="9"/>
      <c r="C4" s="26"/>
      <c r="D4" s="9"/>
      <c r="E4" s="9"/>
      <c r="F4" s="9"/>
      <c r="G4" s="9"/>
      <c r="H4" s="9"/>
      <c r="I4" s="9"/>
      <c r="J4" s="9"/>
      <c r="K4" s="9"/>
      <c r="L4" s="9"/>
      <c r="M4" s="10"/>
    </row>
    <row r="5" customFormat="false" ht="22.5" hidden="false" customHeight="true" outlineLevel="0" collapsed="false">
      <c r="A5" s="29"/>
      <c r="B5" s="29"/>
      <c r="C5" s="9"/>
      <c r="D5" s="9"/>
      <c r="E5" s="9"/>
      <c r="F5" s="9"/>
      <c r="G5" s="9"/>
      <c r="H5" s="9"/>
      <c r="I5" s="9"/>
      <c r="J5" s="9"/>
      <c r="K5" s="9"/>
      <c r="L5" s="9"/>
      <c r="M5" s="10"/>
    </row>
    <row r="6" customFormat="false" ht="22.5" hidden="false" customHeight="true" outlineLevel="0" collapsed="false">
      <c r="A6" s="25"/>
      <c r="B6" s="30"/>
      <c r="C6" s="26"/>
      <c r="D6" s="9"/>
      <c r="E6" s="9"/>
      <c r="F6" s="9"/>
      <c r="G6" s="9"/>
      <c r="H6" s="9"/>
      <c r="I6" s="9"/>
      <c r="J6" s="9"/>
      <c r="K6" s="9"/>
      <c r="L6" s="9"/>
      <c r="M6" s="10"/>
    </row>
    <row r="7" customFormat="false" ht="22.5" hidden="false" customHeight="true" outlineLevel="0" collapsed="false">
      <c r="A7" s="25"/>
      <c r="B7" s="9"/>
      <c r="C7" s="26"/>
      <c r="D7" s="9"/>
      <c r="E7" s="9"/>
      <c r="F7" s="9"/>
      <c r="G7" s="9"/>
      <c r="H7" s="9"/>
      <c r="I7" s="9"/>
      <c r="J7" s="9"/>
      <c r="K7" s="9"/>
      <c r="L7" s="9"/>
      <c r="M7" s="10"/>
    </row>
    <row r="8" customFormat="false" ht="22.5" hidden="false" customHeight="true" outlineLevel="0" collapsed="false">
      <c r="A8" s="25"/>
      <c r="B8" s="9"/>
      <c r="C8" s="26"/>
      <c r="D8" s="9"/>
      <c r="E8" s="9"/>
      <c r="F8" s="9"/>
      <c r="G8" s="9"/>
      <c r="H8" s="9"/>
      <c r="I8" s="9"/>
      <c r="J8" s="9"/>
      <c r="K8" s="9"/>
      <c r="L8" s="9"/>
      <c r="M8" s="10"/>
    </row>
    <row r="9" customFormat="false" ht="22.5" hidden="false" customHeight="true" outlineLevel="0" collapsed="false">
      <c r="A9" s="25"/>
      <c r="B9" s="30"/>
      <c r="C9" s="26"/>
      <c r="D9" s="9"/>
      <c r="E9" s="9"/>
      <c r="F9" s="9"/>
      <c r="G9" s="9"/>
      <c r="H9" s="9"/>
      <c r="I9" s="9"/>
      <c r="J9" s="9"/>
      <c r="K9" s="9"/>
      <c r="L9" s="9"/>
      <c r="M9" s="10"/>
    </row>
    <row r="10" customFormat="false" ht="22.5" hidden="false" customHeight="true" outlineLevel="0" collapsed="false">
      <c r="A10" s="29"/>
      <c r="B10" s="29"/>
      <c r="C10" s="9"/>
      <c r="D10" s="9"/>
      <c r="E10" s="9"/>
      <c r="F10" s="9"/>
      <c r="G10" s="9"/>
      <c r="H10" s="9"/>
      <c r="I10" s="9"/>
      <c r="J10" s="9"/>
      <c r="K10" s="9"/>
      <c r="L10" s="9"/>
      <c r="M10" s="10"/>
    </row>
    <row r="11" customFormat="false" ht="22.5" hidden="false" customHeight="true" outlineLevel="0" collapsed="false">
      <c r="A11" s="25"/>
      <c r="B11" s="31"/>
      <c r="C11" s="26"/>
      <c r="D11" s="9"/>
      <c r="E11" s="9"/>
      <c r="F11" s="9"/>
      <c r="G11" s="9"/>
      <c r="H11" s="9"/>
      <c r="I11" s="9"/>
      <c r="J11" s="9"/>
      <c r="K11" s="9"/>
      <c r="L11" s="9"/>
      <c r="M11" s="10"/>
    </row>
    <row r="12" customFormat="false" ht="22.5" hidden="false" customHeight="true" outlineLevel="0" collapsed="false">
      <c r="A12" s="25"/>
      <c r="B12" s="31"/>
      <c r="C12" s="26"/>
      <c r="D12" s="9"/>
      <c r="E12" s="9"/>
      <c r="F12" s="9"/>
      <c r="G12" s="9"/>
      <c r="H12" s="9"/>
      <c r="I12" s="9"/>
      <c r="J12" s="9"/>
      <c r="K12" s="9"/>
      <c r="L12" s="9"/>
      <c r="M12" s="10"/>
    </row>
    <row r="13" customFormat="false" ht="22.5" hidden="false" customHeight="true" outlineLevel="0" collapsed="false">
      <c r="A13" s="25"/>
      <c r="B13" s="9"/>
      <c r="C13" s="26"/>
      <c r="D13" s="9"/>
      <c r="E13" s="9"/>
      <c r="F13" s="9"/>
      <c r="G13" s="9"/>
      <c r="H13" s="9"/>
      <c r="I13" s="9"/>
      <c r="J13" s="9"/>
      <c r="K13" s="9"/>
      <c r="L13" s="9"/>
      <c r="M13" s="10"/>
    </row>
    <row r="14" customFormat="false" ht="22.5" hidden="false" customHeight="true" outlineLevel="0" collapsed="false">
      <c r="A14" s="25"/>
      <c r="B14" s="30"/>
      <c r="C14" s="26"/>
      <c r="D14" s="9"/>
      <c r="E14" s="9"/>
      <c r="F14" s="9"/>
      <c r="G14" s="9"/>
      <c r="H14" s="9"/>
      <c r="I14" s="9"/>
      <c r="J14" s="9"/>
      <c r="K14" s="9"/>
      <c r="L14" s="9"/>
      <c r="M14" s="10"/>
    </row>
    <row r="15" customFormat="false" ht="22.5" hidden="false" customHeight="true" outlineLevel="0" collapsed="false">
      <c r="A15" s="25"/>
      <c r="B15" s="9"/>
      <c r="C15" s="26"/>
      <c r="D15" s="9"/>
      <c r="E15" s="9"/>
      <c r="F15" s="9"/>
      <c r="G15" s="9"/>
      <c r="H15" s="9"/>
      <c r="I15" s="9"/>
      <c r="J15" s="9"/>
      <c r="K15" s="9"/>
      <c r="L15" s="9"/>
      <c r="M15" s="10"/>
    </row>
    <row r="16" customFormat="false" ht="22.5" hidden="false" customHeight="tru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10"/>
    </row>
    <row r="17" customFormat="false" ht="22.5" hidden="false" customHeight="true" outlineLevel="0" collapsed="false">
      <c r="A17" s="25"/>
      <c r="B17" s="30"/>
      <c r="C17" s="26"/>
      <c r="D17" s="9"/>
      <c r="E17" s="9"/>
      <c r="F17" s="9"/>
      <c r="G17" s="9"/>
      <c r="H17" s="9"/>
      <c r="I17" s="9"/>
      <c r="J17" s="9"/>
      <c r="K17" s="9"/>
      <c r="L17" s="9"/>
      <c r="M17" s="10"/>
    </row>
    <row r="18" customFormat="false" ht="22.5" hidden="false" customHeight="true" outlineLevel="0" collapsed="false">
      <c r="A18" s="25"/>
      <c r="B18" s="9"/>
      <c r="C18" s="26"/>
      <c r="D18" s="9"/>
      <c r="E18" s="9"/>
      <c r="F18" s="9"/>
      <c r="G18" s="9"/>
      <c r="H18" s="9"/>
      <c r="I18" s="9"/>
      <c r="J18" s="9"/>
      <c r="K18" s="9"/>
      <c r="L18" s="9"/>
      <c r="M18" s="10"/>
    </row>
    <row r="19" customFormat="false" ht="22.5" hidden="false" customHeight="true" outlineLevel="0" collapsed="false">
      <c r="A19" s="9"/>
      <c r="B19" s="30"/>
      <c r="C19" s="26"/>
      <c r="D19" s="9"/>
      <c r="E19" s="9"/>
      <c r="F19" s="9"/>
      <c r="G19" s="9"/>
      <c r="H19" s="9"/>
      <c r="I19" s="9"/>
      <c r="J19" s="9"/>
      <c r="K19" s="9"/>
      <c r="L19" s="9"/>
      <c r="M19" s="10"/>
    </row>
    <row r="20" customFormat="false" ht="22.5" hidden="false" customHeight="true" outlineLevel="0" collapsed="false">
      <c r="A20" s="25"/>
      <c r="B20" s="9"/>
      <c r="C20" s="26"/>
      <c r="D20" s="9"/>
      <c r="E20" s="9"/>
      <c r="F20" s="9"/>
      <c r="G20" s="9"/>
      <c r="H20" s="9"/>
      <c r="I20" s="9"/>
      <c r="J20" s="9"/>
      <c r="K20" s="9"/>
      <c r="L20" s="9"/>
      <c r="M20" s="10"/>
    </row>
    <row r="21" customFormat="false" ht="22.5" hidden="false" customHeight="true" outlineLevel="0" collapsed="false">
      <c r="A21" s="25"/>
      <c r="B21" s="9"/>
      <c r="C21" s="26"/>
      <c r="D21" s="9"/>
      <c r="E21" s="9"/>
      <c r="F21" s="9"/>
      <c r="G21" s="9"/>
      <c r="H21" s="9"/>
      <c r="I21" s="9"/>
      <c r="J21" s="9"/>
      <c r="K21" s="9"/>
      <c r="L21" s="9"/>
      <c r="M21" s="10"/>
    </row>
    <row r="22" customFormat="false" ht="22.5" hidden="false" customHeight="true" outlineLevel="0" collapsed="false">
      <c r="A22" s="29"/>
      <c r="B22" s="29"/>
      <c r="C22" s="9"/>
      <c r="D22" s="9"/>
      <c r="E22" s="9"/>
      <c r="F22" s="9"/>
      <c r="G22" s="9"/>
      <c r="H22" s="9"/>
      <c r="I22" s="9"/>
      <c r="J22" s="9"/>
      <c r="K22" s="9"/>
      <c r="L22" s="9"/>
      <c r="M22" s="10"/>
    </row>
    <row r="23" customFormat="false" ht="22.5" hidden="false" customHeight="true" outlineLevel="0" collapsed="false">
      <c r="A23" s="25"/>
      <c r="B23" s="30"/>
      <c r="C23" s="26"/>
      <c r="D23" s="9"/>
      <c r="E23" s="9"/>
      <c r="F23" s="9"/>
      <c r="G23" s="9"/>
      <c r="H23" s="9"/>
      <c r="I23" s="9"/>
      <c r="J23" s="9"/>
      <c r="K23" s="9"/>
      <c r="L23" s="9"/>
      <c r="M23" s="10"/>
    </row>
    <row r="24" customFormat="false" ht="22.5" hidden="false" customHeight="true" outlineLevel="0" collapsed="false">
      <c r="A24" s="29"/>
      <c r="B24" s="29"/>
      <c r="C24" s="9"/>
      <c r="D24" s="9"/>
      <c r="E24" s="9"/>
      <c r="F24" s="9"/>
      <c r="G24" s="9"/>
      <c r="H24" s="9"/>
      <c r="I24" s="9"/>
      <c r="J24" s="9"/>
      <c r="K24" s="9"/>
      <c r="L24" s="9"/>
      <c r="M24" s="10"/>
    </row>
    <row r="25" customFormat="false" ht="22.5" hidden="false" customHeight="true" outlineLevel="0" collapsed="false">
      <c r="A25" s="25"/>
      <c r="B25" s="9"/>
      <c r="C25" s="26"/>
      <c r="D25" s="9"/>
      <c r="E25" s="9"/>
      <c r="F25" s="9"/>
      <c r="G25" s="9"/>
      <c r="H25" s="9"/>
      <c r="I25" s="9"/>
      <c r="J25" s="9"/>
      <c r="K25" s="9"/>
      <c r="L25" s="9"/>
      <c r="M25" s="10"/>
    </row>
    <row r="26" customFormat="false" ht="22.5" hidden="false" customHeight="true" outlineLevel="0" collapsed="false">
      <c r="A26" s="25"/>
      <c r="B26" s="9"/>
      <c r="C26" s="26"/>
      <c r="D26" s="9"/>
      <c r="E26" s="9"/>
      <c r="F26" s="9"/>
      <c r="G26" s="9"/>
      <c r="H26" s="9"/>
      <c r="I26" s="9"/>
      <c r="J26" s="9"/>
      <c r="K26" s="9"/>
      <c r="L26" s="9"/>
      <c r="M26" s="10"/>
    </row>
    <row r="27" customFormat="false" ht="22.5" hidden="false" customHeight="true" outlineLevel="0" collapsed="false">
      <c r="A27" s="25"/>
      <c r="B27" s="9"/>
      <c r="C27" s="26"/>
      <c r="D27" s="9"/>
      <c r="E27" s="9"/>
      <c r="F27" s="9"/>
      <c r="G27" s="9"/>
      <c r="H27" s="9"/>
      <c r="I27" s="9"/>
      <c r="J27" s="9"/>
      <c r="K27" s="9"/>
      <c r="L27" s="9"/>
      <c r="M27" s="10"/>
    </row>
    <row r="28" customFormat="false" ht="22.5" hidden="false" customHeight="true" outlineLevel="0" collapsed="false">
      <c r="A28" s="25"/>
      <c r="B28" s="31"/>
      <c r="C28" s="26"/>
      <c r="D28" s="9"/>
      <c r="E28" s="9"/>
      <c r="F28" s="9"/>
      <c r="G28" s="9"/>
      <c r="H28" s="9"/>
      <c r="I28" s="9"/>
      <c r="J28" s="9"/>
      <c r="K28" s="9"/>
      <c r="L28" s="9"/>
      <c r="M28" s="10"/>
    </row>
    <row r="29" customFormat="false" ht="22.5" hidden="false" customHeight="true" outlineLevel="0" collapsed="false">
      <c r="A29" s="25"/>
      <c r="B29" s="9"/>
      <c r="C29" s="26"/>
      <c r="D29" s="9"/>
      <c r="E29" s="9"/>
      <c r="F29" s="9"/>
      <c r="G29" s="9"/>
      <c r="H29" s="9"/>
      <c r="I29" s="9"/>
      <c r="J29" s="9"/>
      <c r="K29" s="9"/>
      <c r="L29" s="9"/>
      <c r="M29" s="10"/>
    </row>
    <row r="30" customFormat="false" ht="22.5" hidden="false" customHeight="true" outlineLevel="0" collapsed="false">
      <c r="A30" s="25"/>
      <c r="B30" s="30"/>
      <c r="C30" s="26"/>
      <c r="D30" s="9"/>
      <c r="E30" s="9"/>
      <c r="F30" s="9"/>
      <c r="G30" s="9"/>
      <c r="H30" s="9"/>
      <c r="I30" s="9"/>
      <c r="J30" s="9"/>
      <c r="K30" s="9"/>
      <c r="L30" s="9"/>
      <c r="M30" s="10"/>
    </row>
    <row r="31" customFormat="false" ht="22.5" hidden="false" customHeight="true" outlineLevel="0" collapsed="false">
      <c r="A31" s="25"/>
      <c r="B31" s="30"/>
      <c r="C31" s="26"/>
      <c r="D31" s="9"/>
      <c r="E31" s="9"/>
      <c r="F31" s="9"/>
      <c r="G31" s="9"/>
      <c r="H31" s="9"/>
      <c r="I31" s="9"/>
      <c r="J31" s="9"/>
      <c r="K31" s="9"/>
      <c r="L31" s="9"/>
      <c r="M31" s="10"/>
    </row>
    <row r="32" customFormat="false" ht="22.5" hidden="false" customHeight="true" outlineLevel="0" collapsed="false">
      <c r="A32" s="25"/>
      <c r="B32" s="30"/>
      <c r="C32" s="26"/>
      <c r="D32" s="9"/>
      <c r="E32" s="9"/>
      <c r="F32" s="9"/>
      <c r="G32" s="9"/>
      <c r="H32" s="9"/>
      <c r="I32" s="9"/>
      <c r="J32" s="9"/>
      <c r="K32" s="9"/>
      <c r="L32" s="9"/>
      <c r="M32" s="10"/>
    </row>
    <row r="33" customFormat="false" ht="22.5" hidden="false" customHeight="true" outlineLevel="0" collapsed="false">
      <c r="A33" s="25"/>
      <c r="B33" s="30"/>
      <c r="C33" s="26"/>
      <c r="D33" s="9"/>
      <c r="E33" s="9"/>
      <c r="F33" s="9"/>
      <c r="G33" s="9"/>
      <c r="H33" s="9"/>
      <c r="I33" s="9"/>
      <c r="J33" s="9"/>
      <c r="K33" s="9"/>
      <c r="L33" s="9"/>
      <c r="M33" s="10"/>
    </row>
    <row r="34" customFormat="false" ht="20.25" hidden="false" customHeight="true" outlineLevel="0" collapsed="false">
      <c r="A34" s="25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10"/>
    </row>
    <row r="35" customFormat="false" ht="22.5" hidden="false" customHeight="true" outlineLevel="0" collapsed="false">
      <c r="A35" s="29"/>
      <c r="B35" s="29"/>
      <c r="C35" s="9"/>
      <c r="D35" s="9"/>
      <c r="E35" s="9"/>
      <c r="F35" s="9"/>
      <c r="G35" s="9"/>
      <c r="H35" s="9"/>
      <c r="I35" s="9"/>
      <c r="J35" s="9"/>
      <c r="K35" s="9"/>
      <c r="L35" s="9"/>
      <c r="M35" s="10"/>
    </row>
    <row r="36" customFormat="false" ht="22.5" hidden="false" customHeight="true" outlineLevel="0" collapsed="false">
      <c r="A36" s="25"/>
      <c r="B36" s="9"/>
      <c r="C36" s="26"/>
      <c r="D36" s="9"/>
      <c r="E36" s="9"/>
      <c r="F36" s="9"/>
      <c r="G36" s="9"/>
      <c r="H36" s="9"/>
      <c r="I36" s="9"/>
      <c r="J36" s="9"/>
      <c r="K36" s="9"/>
      <c r="L36" s="9"/>
      <c r="M36" s="10"/>
    </row>
    <row r="37" customFormat="false" ht="22.5" hidden="false" customHeight="true" outlineLevel="0" collapsed="false">
      <c r="A37" s="25"/>
      <c r="B37" s="30"/>
      <c r="C37" s="26"/>
      <c r="D37" s="9"/>
      <c r="E37" s="9"/>
      <c r="F37" s="9"/>
      <c r="G37" s="9"/>
      <c r="H37" s="9"/>
      <c r="I37" s="9"/>
      <c r="J37" s="9"/>
      <c r="K37" s="9"/>
      <c r="L37" s="9"/>
      <c r="M37" s="10"/>
    </row>
    <row r="38" customFormat="false" ht="22.5" hidden="false" customHeight="true" outlineLevel="0" collapsed="false">
      <c r="A38" s="25"/>
      <c r="B38" s="9"/>
      <c r="C38" s="26"/>
      <c r="D38" s="9"/>
      <c r="E38" s="9"/>
      <c r="F38" s="9"/>
      <c r="G38" s="9"/>
      <c r="H38" s="9"/>
      <c r="I38" s="9"/>
      <c r="J38" s="9"/>
      <c r="K38" s="9"/>
      <c r="L38" s="9"/>
      <c r="M38" s="10"/>
    </row>
    <row r="39" customFormat="false" ht="22.5" hidden="false" customHeight="true" outlineLevel="0" collapsed="false">
      <c r="A39" s="25"/>
      <c r="B39" s="30"/>
      <c r="C39" s="26"/>
      <c r="D39" s="9"/>
      <c r="E39" s="9"/>
      <c r="F39" s="9"/>
      <c r="G39" s="9"/>
      <c r="H39" s="9"/>
      <c r="I39" s="9"/>
      <c r="J39" s="9"/>
      <c r="K39" s="9"/>
      <c r="L39" s="9"/>
      <c r="M39" s="10"/>
    </row>
    <row r="40" customFormat="false" ht="22.5" hidden="false" customHeight="true" outlineLevel="0" collapsed="false">
      <c r="A40" s="25"/>
      <c r="B40" s="30"/>
      <c r="C40" s="26"/>
      <c r="D40" s="9"/>
      <c r="E40" s="9"/>
      <c r="F40" s="9"/>
      <c r="G40" s="9"/>
      <c r="H40" s="9"/>
      <c r="I40" s="9"/>
      <c r="J40" s="9"/>
      <c r="K40" s="9"/>
      <c r="L40" s="9"/>
      <c r="M40" s="10"/>
    </row>
    <row r="41" customFormat="false" ht="22.5" hidden="false" customHeight="true" outlineLevel="0" collapsed="false">
      <c r="A41" s="25"/>
      <c r="B41" s="30"/>
      <c r="C41" s="26"/>
      <c r="D41" s="9"/>
      <c r="E41" s="9"/>
      <c r="F41" s="9"/>
      <c r="G41" s="9"/>
      <c r="H41" s="9"/>
      <c r="I41" s="9"/>
      <c r="J41" s="9"/>
      <c r="K41" s="9"/>
      <c r="L41" s="9"/>
      <c r="M41" s="10"/>
    </row>
    <row r="42" customFormat="false" ht="22.5" hidden="false" customHeight="true" outlineLevel="0" collapsed="false">
      <c r="A42" s="32"/>
      <c r="B42" s="30"/>
      <c r="C42" s="26"/>
      <c r="D42" s="9"/>
      <c r="E42" s="9"/>
      <c r="F42" s="9"/>
      <c r="G42" s="9"/>
      <c r="H42" s="9"/>
      <c r="I42" s="9"/>
      <c r="J42" s="9"/>
      <c r="K42" s="9"/>
      <c r="L42" s="9"/>
      <c r="M42" s="10"/>
    </row>
    <row r="43" customFormat="false" ht="22.5" hidden="false" customHeight="true" outlineLevel="0" collapsed="false">
      <c r="A43" s="25"/>
      <c r="B43" s="30"/>
      <c r="C43" s="26"/>
      <c r="D43" s="9"/>
      <c r="E43" s="9"/>
      <c r="F43" s="9"/>
      <c r="G43" s="9"/>
      <c r="H43" s="9"/>
      <c r="I43" s="9"/>
      <c r="J43" s="9"/>
      <c r="K43" s="9"/>
      <c r="L43" s="9"/>
      <c r="M43" s="10"/>
    </row>
    <row r="44" customFormat="false" ht="22.5" hidden="false" customHeight="true" outlineLevel="0" collapsed="false">
      <c r="A44" s="29"/>
      <c r="B44" s="29"/>
      <c r="C44" s="9"/>
      <c r="D44" s="9"/>
      <c r="E44" s="9"/>
      <c r="F44" s="9"/>
      <c r="G44" s="9"/>
      <c r="H44" s="9"/>
      <c r="I44" s="9"/>
      <c r="J44" s="9"/>
      <c r="K44" s="9"/>
      <c r="L44" s="9"/>
      <c r="M44" s="10"/>
    </row>
    <row r="45" customFormat="false" ht="22.5" hidden="false" customHeight="true" outlineLevel="0" collapsed="false">
      <c r="A45" s="25"/>
      <c r="B45" s="9"/>
      <c r="C45" s="26"/>
      <c r="D45" s="9"/>
      <c r="E45" s="9"/>
      <c r="F45" s="9"/>
      <c r="G45" s="9"/>
      <c r="H45" s="9"/>
      <c r="I45" s="9"/>
      <c r="J45" s="9"/>
      <c r="K45" s="9"/>
      <c r="L45" s="9"/>
      <c r="M45" s="10"/>
    </row>
    <row r="46" customFormat="false" ht="22.5" hidden="false" customHeight="true" outlineLevel="0" collapsed="false">
      <c r="A46" s="25"/>
      <c r="B46" s="9"/>
      <c r="C46" s="26"/>
      <c r="D46" s="9"/>
      <c r="E46" s="9"/>
      <c r="F46" s="9"/>
      <c r="G46" s="9"/>
      <c r="H46" s="9"/>
      <c r="I46" s="9"/>
      <c r="J46" s="9"/>
      <c r="K46" s="9"/>
      <c r="L46" s="9"/>
      <c r="M46" s="10"/>
    </row>
    <row r="47" customFormat="false" ht="22.5" hidden="false" customHeight="true" outlineLevel="0" collapsed="false">
      <c r="A47" s="29"/>
      <c r="B47" s="29"/>
      <c r="C47" s="9"/>
      <c r="D47" s="9"/>
      <c r="E47" s="9"/>
      <c r="F47" s="9"/>
      <c r="G47" s="9"/>
      <c r="H47" s="9"/>
      <c r="I47" s="9"/>
      <c r="J47" s="9"/>
      <c r="K47" s="9"/>
      <c r="L47" s="9"/>
      <c r="M47" s="10"/>
    </row>
    <row r="48" customFormat="false" ht="22.5" hidden="false" customHeight="true" outlineLevel="0" collapsed="false">
      <c r="A48" s="25"/>
      <c r="B48" s="9"/>
      <c r="C48" s="26"/>
      <c r="D48" s="9"/>
      <c r="E48" s="9"/>
      <c r="F48" s="9"/>
      <c r="G48" s="9"/>
      <c r="H48" s="9"/>
      <c r="I48" s="9"/>
      <c r="J48" s="9"/>
      <c r="K48" s="9"/>
      <c r="L48" s="9"/>
      <c r="M48" s="10"/>
    </row>
    <row r="49" customFormat="false" ht="22.5" hidden="false" customHeight="true" outlineLevel="0" collapsed="false">
      <c r="A49" s="25"/>
      <c r="B49" s="9"/>
      <c r="C49" s="26"/>
      <c r="D49" s="9"/>
      <c r="E49" s="9"/>
      <c r="F49" s="9"/>
      <c r="G49" s="9"/>
      <c r="H49" s="9"/>
      <c r="I49" s="9"/>
      <c r="J49" s="9"/>
      <c r="K49" s="9"/>
      <c r="L49" s="9"/>
      <c r="M49" s="10"/>
    </row>
    <row r="50" customFormat="false" ht="22.5" hidden="false" customHeight="true" outlineLevel="0" collapsed="false">
      <c r="A50" s="25"/>
      <c r="B50" s="33"/>
      <c r="C50" s="9"/>
      <c r="D50" s="9"/>
      <c r="E50" s="9"/>
      <c r="F50" s="9"/>
      <c r="G50" s="9"/>
      <c r="H50" s="9"/>
      <c r="I50" s="9"/>
      <c r="J50" s="9"/>
      <c r="K50" s="9"/>
      <c r="L50" s="9"/>
      <c r="M50" s="10"/>
    </row>
    <row r="51" customFormat="false" ht="22.5" hidden="false" customHeight="true" outlineLevel="0" collapsed="false">
      <c r="A51" s="29"/>
      <c r="B51" s="29"/>
      <c r="C51" s="9"/>
      <c r="D51" s="9"/>
      <c r="E51" s="9"/>
      <c r="F51" s="9"/>
      <c r="G51" s="9"/>
      <c r="H51" s="9"/>
      <c r="I51" s="9"/>
      <c r="J51" s="9"/>
      <c r="K51" s="9"/>
      <c r="L51" s="9"/>
      <c r="M51" s="10"/>
    </row>
    <row r="52" customFormat="false" ht="22.5" hidden="false" customHeight="true" outlineLevel="0" collapsed="false">
      <c r="A52" s="25"/>
      <c r="B52" s="9"/>
      <c r="C52" s="26"/>
      <c r="D52" s="9"/>
      <c r="E52" s="9"/>
      <c r="F52" s="9"/>
      <c r="G52" s="9"/>
      <c r="H52" s="9"/>
      <c r="I52" s="9"/>
      <c r="J52" s="9"/>
      <c r="K52" s="9"/>
      <c r="L52" s="9"/>
      <c r="M52" s="10"/>
    </row>
    <row r="53" customFormat="false" ht="22.5" hidden="false" customHeight="true" outlineLevel="0" collapsed="false">
      <c r="A53" s="25"/>
      <c r="B53" s="34"/>
      <c r="C53" s="26"/>
      <c r="D53" s="9"/>
      <c r="E53" s="9"/>
      <c r="F53" s="9"/>
      <c r="G53" s="9"/>
      <c r="H53" s="9"/>
      <c r="I53" s="9"/>
      <c r="J53" s="9"/>
      <c r="K53" s="9"/>
      <c r="L53" s="9"/>
      <c r="M53" s="10"/>
    </row>
    <row r="54" customFormat="false" ht="22.5" hidden="false" customHeight="true" outlineLevel="0" collapsed="false">
      <c r="A54" s="25"/>
      <c r="B54" s="31"/>
      <c r="C54" s="26"/>
      <c r="D54" s="9"/>
      <c r="E54" s="9"/>
      <c r="F54" s="9"/>
      <c r="G54" s="9"/>
      <c r="H54" s="9"/>
      <c r="I54" s="9"/>
      <c r="J54" s="9"/>
      <c r="K54" s="9"/>
      <c r="L54" s="9"/>
      <c r="M54" s="10"/>
    </row>
    <row r="55" customFormat="false" ht="22.5" hidden="false" customHeight="true" outlineLevel="0" collapsed="false">
      <c r="A55" s="25"/>
      <c r="B55" s="9"/>
      <c r="C55" s="26"/>
      <c r="D55" s="9"/>
      <c r="E55" s="9"/>
      <c r="F55" s="9"/>
      <c r="G55" s="9"/>
      <c r="H55" s="9"/>
      <c r="I55" s="9"/>
      <c r="J55" s="9"/>
      <c r="K55" s="9"/>
      <c r="L55" s="9"/>
      <c r="M55" s="10"/>
    </row>
    <row r="56" customFormat="false" ht="22.5" hidden="false" customHeight="true" outlineLevel="0" collapsed="false">
      <c r="A56" s="25"/>
      <c r="B56" s="30"/>
      <c r="C56" s="26"/>
      <c r="D56" s="9"/>
      <c r="E56" s="9"/>
      <c r="F56" s="9"/>
      <c r="G56" s="9"/>
      <c r="H56" s="9"/>
      <c r="I56" s="9"/>
      <c r="J56" s="9"/>
      <c r="K56" s="9"/>
      <c r="L56" s="9"/>
      <c r="M56" s="10"/>
    </row>
    <row r="57" customFormat="false" ht="22.5" hidden="false" customHeight="true" outlineLevel="0" collapsed="false">
      <c r="A57" s="25"/>
      <c r="B57" s="9"/>
      <c r="C57" s="26"/>
      <c r="D57" s="9"/>
      <c r="E57" s="9"/>
      <c r="F57" s="9"/>
      <c r="G57" s="9"/>
      <c r="H57" s="9"/>
      <c r="I57" s="9"/>
      <c r="J57" s="9"/>
      <c r="K57" s="9"/>
      <c r="L57" s="9"/>
      <c r="M57" s="10"/>
    </row>
    <row r="58" customFormat="false" ht="22.5" hidden="false" customHeight="true" outlineLevel="0" collapsed="false">
      <c r="A58" s="25"/>
      <c r="B58" s="30"/>
      <c r="C58" s="26"/>
      <c r="D58" s="9"/>
      <c r="E58" s="9"/>
      <c r="F58" s="9"/>
      <c r="G58" s="9"/>
      <c r="H58" s="9"/>
      <c r="I58" s="9"/>
      <c r="J58" s="9"/>
      <c r="K58" s="9"/>
      <c r="L58" s="9"/>
      <c r="M58" s="10"/>
    </row>
    <row r="59" customFormat="false" ht="22.5" hidden="false" customHeight="true" outlineLevel="0" collapsed="false">
      <c r="A59" s="25"/>
      <c r="B59" s="30"/>
      <c r="C59" s="26"/>
      <c r="D59" s="9"/>
      <c r="E59" s="9"/>
      <c r="F59" s="9"/>
      <c r="G59" s="9"/>
      <c r="H59" s="9"/>
      <c r="I59" s="9"/>
      <c r="J59" s="9"/>
      <c r="K59" s="9"/>
      <c r="L59" s="9"/>
      <c r="M59" s="10"/>
    </row>
    <row r="60" customFormat="false" ht="22.5" hidden="false" customHeight="true" outlineLevel="0" collapsed="false">
      <c r="A60" s="25"/>
      <c r="B60" s="30"/>
      <c r="C60" s="26"/>
      <c r="D60" s="9"/>
      <c r="E60" s="9"/>
      <c r="F60" s="9"/>
      <c r="G60" s="9"/>
      <c r="H60" s="9"/>
      <c r="I60" s="9"/>
      <c r="J60" s="9"/>
      <c r="K60" s="9"/>
      <c r="L60" s="9"/>
      <c r="M60" s="10"/>
    </row>
    <row r="61" customFormat="false" ht="22.5" hidden="false" customHeight="true" outlineLevel="0" collapsed="false">
      <c r="A61" s="25"/>
      <c r="B61" s="9"/>
      <c r="C61" s="26"/>
      <c r="D61" s="9"/>
      <c r="E61" s="9"/>
      <c r="F61" s="9"/>
      <c r="G61" s="9"/>
      <c r="H61" s="9"/>
      <c r="I61" s="9"/>
      <c r="J61" s="9"/>
      <c r="K61" s="9"/>
      <c r="L61" s="9"/>
      <c r="M61" s="10"/>
    </row>
    <row r="62" customFormat="false" ht="22.5" hidden="false" customHeight="true" outlineLevel="0" collapsed="false">
      <c r="A62" s="25"/>
      <c r="B62" s="9"/>
      <c r="C62" s="26"/>
      <c r="D62" s="9"/>
      <c r="E62" s="9"/>
      <c r="F62" s="9"/>
      <c r="G62" s="9"/>
      <c r="H62" s="9"/>
      <c r="I62" s="9"/>
      <c r="J62" s="9"/>
      <c r="K62" s="9"/>
      <c r="L62" s="9"/>
      <c r="M62" s="10"/>
    </row>
    <row r="63" customFormat="false" ht="22.5" hidden="false" customHeight="true" outlineLevel="0" collapsed="false">
      <c r="A63" s="25"/>
      <c r="B63" s="9"/>
      <c r="C63" s="26"/>
      <c r="D63" s="9"/>
      <c r="E63" s="9"/>
      <c r="F63" s="9"/>
      <c r="G63" s="9"/>
      <c r="H63" s="9"/>
      <c r="I63" s="9"/>
      <c r="J63" s="9"/>
      <c r="K63" s="9"/>
      <c r="L63" s="9"/>
      <c r="M63" s="10"/>
    </row>
    <row r="64" customFormat="false" ht="22.5" hidden="false" customHeight="true" outlineLevel="0" collapsed="false">
      <c r="A64" s="25"/>
      <c r="B64" s="30"/>
      <c r="C64" s="26"/>
      <c r="D64" s="9"/>
      <c r="E64" s="9"/>
      <c r="F64" s="9"/>
      <c r="G64" s="9"/>
      <c r="H64" s="9"/>
      <c r="I64" s="9"/>
      <c r="J64" s="9"/>
      <c r="K64" s="9"/>
      <c r="L64" s="9"/>
      <c r="M64" s="10"/>
    </row>
    <row r="65" customFormat="false" ht="22.5" hidden="false" customHeight="true" outlineLevel="0" collapsed="false">
      <c r="A65" s="25"/>
      <c r="B65" s="9"/>
      <c r="C65" s="26"/>
      <c r="D65" s="9"/>
      <c r="E65" s="9"/>
      <c r="F65" s="9"/>
      <c r="G65" s="9"/>
      <c r="H65" s="9"/>
      <c r="I65" s="9"/>
      <c r="J65" s="9"/>
      <c r="K65" s="9"/>
      <c r="L65" s="9"/>
      <c r="M65" s="10"/>
    </row>
    <row r="66" customFormat="false" ht="22.5" hidden="false" customHeight="true" outlineLevel="0" collapsed="false">
      <c r="A66" s="25"/>
      <c r="B66" s="30"/>
      <c r="C66" s="26"/>
      <c r="D66" s="9"/>
      <c r="E66" s="9"/>
      <c r="F66" s="9"/>
      <c r="G66" s="9"/>
      <c r="H66" s="9"/>
      <c r="I66" s="9"/>
      <c r="J66" s="9"/>
      <c r="K66" s="9"/>
      <c r="L66" s="9"/>
      <c r="M66" s="10"/>
    </row>
    <row r="67" customFormat="false" ht="22.5" hidden="false" customHeight="true" outlineLevel="0" collapsed="false">
      <c r="A67" s="35"/>
      <c r="B67" s="30"/>
      <c r="C67" s="26"/>
      <c r="D67" s="9"/>
      <c r="E67" s="9"/>
      <c r="F67" s="9"/>
      <c r="G67" s="9"/>
      <c r="H67" s="9"/>
      <c r="I67" s="9"/>
      <c r="J67" s="9"/>
      <c r="K67" s="9"/>
      <c r="L67" s="9"/>
      <c r="M67" s="10"/>
    </row>
    <row r="68" customFormat="false" ht="22.5" hidden="false" customHeight="true" outlineLevel="0" collapsed="false">
      <c r="A68" s="25"/>
      <c r="B68" s="30"/>
      <c r="C68" s="26"/>
      <c r="D68" s="9"/>
      <c r="E68" s="9"/>
      <c r="F68" s="9"/>
      <c r="G68" s="9"/>
      <c r="H68" s="9"/>
      <c r="I68" s="9"/>
      <c r="J68" s="9"/>
      <c r="K68" s="9"/>
      <c r="L68" s="9"/>
      <c r="M68" s="10"/>
    </row>
    <row r="69" customFormat="false" ht="22.5" hidden="false" customHeight="true" outlineLevel="0" collapsed="false">
      <c r="A69" s="25"/>
      <c r="B69" s="30"/>
      <c r="C69" s="26"/>
      <c r="D69" s="9"/>
      <c r="E69" s="9"/>
      <c r="F69" s="9"/>
      <c r="G69" s="9"/>
      <c r="H69" s="9"/>
      <c r="I69" s="9"/>
      <c r="J69" s="9"/>
      <c r="K69" s="9"/>
      <c r="L69" s="9"/>
      <c r="M69" s="10"/>
    </row>
    <row r="70" customFormat="false" ht="22.5" hidden="false" customHeight="true" outlineLevel="0" collapsed="false">
      <c r="A70" s="25"/>
      <c r="B70" s="9"/>
      <c r="C70" s="26"/>
      <c r="D70" s="9"/>
      <c r="E70" s="9"/>
      <c r="F70" s="9"/>
      <c r="G70" s="9"/>
      <c r="H70" s="9"/>
      <c r="I70" s="9"/>
      <c r="J70" s="9"/>
      <c r="K70" s="9"/>
      <c r="L70" s="9"/>
      <c r="M70" s="10"/>
    </row>
    <row r="71" customFormat="false" ht="22.5" hidden="false" customHeight="true" outlineLevel="0" collapsed="false">
      <c r="A71" s="25"/>
      <c r="B71" s="30"/>
      <c r="C71" s="26"/>
      <c r="D71" s="9"/>
      <c r="E71" s="9"/>
      <c r="F71" s="9"/>
      <c r="G71" s="9"/>
      <c r="H71" s="9"/>
      <c r="I71" s="9"/>
      <c r="J71" s="9"/>
      <c r="K71" s="9"/>
      <c r="L71" s="9"/>
      <c r="M71" s="10"/>
    </row>
    <row r="72" customFormat="false" ht="22.5" hidden="false" customHeight="true" outlineLevel="0" collapsed="false">
      <c r="A72" s="25"/>
      <c r="B72" s="30"/>
      <c r="C72" s="26"/>
      <c r="D72" s="9"/>
      <c r="E72" s="9"/>
      <c r="F72" s="9"/>
      <c r="G72" s="9"/>
      <c r="H72" s="9"/>
      <c r="I72" s="9"/>
      <c r="J72" s="9"/>
      <c r="K72" s="9"/>
      <c r="L72" s="9"/>
      <c r="M72" s="10"/>
    </row>
    <row r="73" customFormat="false" ht="22.5" hidden="false" customHeight="true" outlineLevel="0" collapsed="false">
      <c r="A73" s="25"/>
      <c r="B73" s="36"/>
      <c r="C73" s="26"/>
      <c r="D73" s="9"/>
      <c r="E73" s="9"/>
      <c r="F73" s="9"/>
      <c r="G73" s="9"/>
      <c r="H73" s="9"/>
      <c r="I73" s="9"/>
      <c r="J73" s="9"/>
      <c r="K73" s="9"/>
      <c r="L73" s="9"/>
      <c r="M73" s="10"/>
    </row>
    <row r="74" customFormat="false" ht="22.5" hidden="false" customHeight="true" outlineLevel="0" collapsed="false">
      <c r="A74" s="25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10"/>
    </row>
    <row r="75" customFormat="false" ht="22.5" hidden="false" customHeight="true" outlineLevel="0" collapsed="false">
      <c r="A75" s="25"/>
      <c r="B75" s="30"/>
      <c r="C75" s="9"/>
      <c r="D75" s="9"/>
      <c r="E75" s="9"/>
      <c r="F75" s="9"/>
      <c r="G75" s="9"/>
      <c r="H75" s="9"/>
      <c r="I75" s="9"/>
      <c r="J75" s="9"/>
      <c r="K75" s="9"/>
      <c r="L75" s="9"/>
      <c r="M75" s="10"/>
    </row>
    <row r="76" customFormat="false" ht="22.5" hidden="false" customHeight="true" outlineLevel="0" collapsed="false">
      <c r="A76" s="25"/>
      <c r="B76" s="31"/>
      <c r="C76" s="26"/>
      <c r="D76" s="9"/>
      <c r="E76" s="9"/>
      <c r="F76" s="9"/>
      <c r="G76" s="9"/>
      <c r="H76" s="9"/>
      <c r="I76" s="9"/>
      <c r="J76" s="9"/>
      <c r="K76" s="9"/>
      <c r="L76" s="9"/>
      <c r="M76" s="10"/>
    </row>
    <row r="77" customFormat="false" ht="22.5" hidden="false" customHeight="true" outlineLevel="0" collapsed="false">
      <c r="A77" s="25"/>
      <c r="B77" s="30"/>
      <c r="C77" s="26"/>
      <c r="D77" s="9"/>
      <c r="E77" s="9"/>
      <c r="F77" s="9"/>
      <c r="G77" s="9"/>
      <c r="H77" s="9"/>
      <c r="I77" s="9"/>
      <c r="J77" s="9"/>
      <c r="K77" s="9"/>
      <c r="L77" s="9"/>
      <c r="M77" s="10"/>
    </row>
    <row r="78" customFormat="false" ht="22.5" hidden="false" customHeight="true" outlineLevel="0" collapsed="false">
      <c r="A78" s="25"/>
      <c r="B78" s="9"/>
      <c r="C78" s="26"/>
      <c r="D78" s="9"/>
      <c r="E78" s="9"/>
      <c r="F78" s="9"/>
      <c r="G78" s="9"/>
      <c r="H78" s="9"/>
      <c r="I78" s="9"/>
      <c r="J78" s="9"/>
      <c r="K78" s="9"/>
      <c r="L78" s="9"/>
      <c r="M78" s="10"/>
    </row>
    <row r="79" customFormat="false" ht="22.5" hidden="false" customHeight="true" outlineLevel="0" collapsed="false">
      <c r="A79" s="29"/>
      <c r="B79" s="29"/>
      <c r="C79" s="9"/>
      <c r="D79" s="9"/>
      <c r="E79" s="9"/>
      <c r="F79" s="9"/>
      <c r="G79" s="9"/>
      <c r="H79" s="9"/>
      <c r="I79" s="9"/>
      <c r="J79" s="9"/>
      <c r="K79" s="9"/>
      <c r="L79" s="9"/>
      <c r="M79" s="10"/>
    </row>
    <row r="80" customFormat="false" ht="22.5" hidden="false" customHeight="true" outlineLevel="0" collapsed="false">
      <c r="A80" s="25"/>
      <c r="B80" s="9"/>
      <c r="C80" s="26"/>
      <c r="D80" s="9"/>
      <c r="E80" s="9"/>
      <c r="F80" s="9"/>
      <c r="G80" s="9"/>
      <c r="H80" s="9"/>
      <c r="I80" s="9"/>
      <c r="J80" s="9"/>
      <c r="K80" s="9"/>
      <c r="L80" s="9"/>
      <c r="M80" s="10"/>
    </row>
    <row r="81" customFormat="false" ht="22.5" hidden="false" customHeight="true" outlineLevel="0" collapsed="false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10"/>
    </row>
    <row r="82" customFormat="false" ht="22.5" hidden="false" customHeight="true" outlineLevel="0" collapsed="false">
      <c r="A82" s="25"/>
      <c r="B82" s="31"/>
      <c r="C82" s="26"/>
      <c r="D82" s="9"/>
      <c r="E82" s="9"/>
      <c r="F82" s="9"/>
      <c r="G82" s="9"/>
      <c r="H82" s="9"/>
      <c r="I82" s="9"/>
      <c r="J82" s="9"/>
      <c r="K82" s="9"/>
      <c r="L82" s="9"/>
      <c r="M82" s="10"/>
    </row>
    <row r="83" customFormat="false" ht="22.5" hidden="false" customHeight="true" outlineLevel="0" collapsed="false">
      <c r="A83" s="25"/>
      <c r="B83" s="9"/>
      <c r="C83" s="26"/>
      <c r="D83" s="9"/>
      <c r="E83" s="9"/>
      <c r="F83" s="9"/>
      <c r="G83" s="9"/>
      <c r="H83" s="9"/>
      <c r="I83" s="9"/>
      <c r="J83" s="9"/>
      <c r="K83" s="9"/>
      <c r="L83" s="9"/>
      <c r="M83" s="10"/>
    </row>
    <row r="84" customFormat="false" ht="22.5" hidden="false" customHeight="true" outlineLevel="0" collapsed="false">
      <c r="A84" s="25"/>
      <c r="B84" s="30"/>
      <c r="C84" s="26"/>
      <c r="D84" s="9"/>
      <c r="E84" s="9"/>
      <c r="F84" s="9"/>
      <c r="G84" s="9"/>
      <c r="H84" s="9"/>
      <c r="I84" s="9"/>
      <c r="J84" s="9"/>
      <c r="K84" s="9"/>
      <c r="L84" s="9"/>
      <c r="M84" s="10"/>
    </row>
    <row r="85" customFormat="false" ht="22.5" hidden="false" customHeight="true" outlineLevel="0" collapsed="false">
      <c r="A85" s="25"/>
      <c r="B85" s="31"/>
      <c r="C85" s="26"/>
      <c r="D85" s="9"/>
      <c r="E85" s="9"/>
      <c r="F85" s="9"/>
      <c r="G85" s="9"/>
      <c r="H85" s="9"/>
      <c r="I85" s="9"/>
      <c r="J85" s="9"/>
      <c r="K85" s="9"/>
      <c r="L85" s="9"/>
      <c r="M85" s="10"/>
    </row>
    <row r="86" customFormat="false" ht="22.5" hidden="false" customHeight="true" outlineLevel="0" collapsed="false">
      <c r="A86" s="25"/>
      <c r="B86" s="31"/>
      <c r="C86" s="26"/>
      <c r="D86" s="9"/>
      <c r="E86" s="9"/>
      <c r="F86" s="9"/>
      <c r="G86" s="9"/>
      <c r="H86" s="9"/>
      <c r="I86" s="9"/>
      <c r="J86" s="9"/>
      <c r="K86" s="9"/>
      <c r="L86" s="9"/>
      <c r="M86" s="10"/>
    </row>
    <row r="87" customFormat="false" ht="22.5" hidden="false" customHeight="true" outlineLevel="0" collapsed="false">
      <c r="A87" s="29"/>
      <c r="B87" s="29"/>
      <c r="C87" s="9"/>
      <c r="D87" s="9"/>
      <c r="E87" s="9"/>
      <c r="F87" s="9"/>
      <c r="G87" s="9"/>
      <c r="H87" s="9"/>
      <c r="I87" s="9"/>
      <c r="J87" s="9"/>
      <c r="K87" s="9"/>
      <c r="L87" s="9"/>
      <c r="M87" s="10"/>
    </row>
    <row r="88" customFormat="false" ht="22.5" hidden="false" customHeight="true" outlineLevel="0" collapsed="false">
      <c r="A88" s="25"/>
      <c r="B88" s="31"/>
      <c r="C88" s="26"/>
      <c r="D88" s="9"/>
      <c r="E88" s="9"/>
      <c r="F88" s="9"/>
      <c r="G88" s="9"/>
      <c r="H88" s="9"/>
      <c r="I88" s="9"/>
      <c r="J88" s="9"/>
      <c r="K88" s="9"/>
      <c r="L88" s="9"/>
      <c r="M88" s="10"/>
    </row>
    <row r="89" customFormat="false" ht="22.5" hidden="false" customHeight="true" outlineLevel="0" collapsed="false">
      <c r="A89" s="25"/>
      <c r="B89" s="9"/>
      <c r="C89" s="26"/>
      <c r="D89" s="9"/>
      <c r="E89" s="9"/>
      <c r="F89" s="9"/>
      <c r="G89" s="9"/>
      <c r="H89" s="9"/>
      <c r="I89" s="9"/>
      <c r="J89" s="9"/>
      <c r="K89" s="9"/>
      <c r="L89" s="9"/>
      <c r="M89" s="10"/>
    </row>
    <row r="90" customFormat="false" ht="22.5" hidden="false" customHeight="true" outlineLevel="0" collapsed="false">
      <c r="A90" s="25"/>
      <c r="B90" s="30"/>
      <c r="C90" s="26"/>
      <c r="D90" s="9"/>
      <c r="E90" s="9"/>
      <c r="F90" s="9"/>
      <c r="G90" s="9"/>
      <c r="H90" s="9"/>
      <c r="I90" s="9"/>
      <c r="J90" s="9"/>
      <c r="K90" s="9"/>
      <c r="L90" s="9"/>
      <c r="M90" s="10"/>
    </row>
    <row r="91" customFormat="false" ht="22.5" hidden="false" customHeight="true" outlineLevel="0" collapsed="false">
      <c r="A91" s="25"/>
      <c r="B91" s="34"/>
      <c r="C91" s="26"/>
      <c r="D91" s="9"/>
      <c r="E91" s="9"/>
      <c r="F91" s="9"/>
      <c r="G91" s="9"/>
      <c r="H91" s="9"/>
      <c r="I91" s="9"/>
      <c r="J91" s="9"/>
      <c r="K91" s="9"/>
      <c r="L91" s="9"/>
      <c r="M91" s="10"/>
    </row>
    <row r="92" customFormat="false" ht="22.5" hidden="false" customHeight="true" outlineLevel="0" collapsed="false">
      <c r="A92" s="25"/>
      <c r="B92" s="9"/>
      <c r="C92" s="26"/>
      <c r="D92" s="9"/>
      <c r="E92" s="9"/>
      <c r="F92" s="9"/>
      <c r="G92" s="9"/>
      <c r="H92" s="9"/>
      <c r="I92" s="9"/>
      <c r="J92" s="9"/>
      <c r="K92" s="9"/>
      <c r="L92" s="9"/>
    </row>
    <row r="93" customFormat="false" ht="22.5" hidden="false" customHeight="true" outlineLevel="0" collapsed="false">
      <c r="A93" s="25"/>
      <c r="B93" s="30"/>
      <c r="C93" s="26"/>
      <c r="D93" s="9"/>
      <c r="E93" s="9"/>
      <c r="F93" s="9"/>
      <c r="G93" s="9"/>
      <c r="H93" s="9"/>
      <c r="I93" s="9"/>
      <c r="J93" s="9"/>
      <c r="K93" s="9"/>
      <c r="L93" s="9"/>
    </row>
    <row r="94" customFormat="false" ht="22.5" hidden="false" customHeight="true" outlineLevel="0" collapsed="false">
      <c r="A94" s="25"/>
      <c r="B94" s="30"/>
      <c r="C94" s="26"/>
      <c r="D94" s="9"/>
      <c r="E94" s="9"/>
      <c r="F94" s="9"/>
      <c r="G94" s="9"/>
      <c r="H94" s="9"/>
      <c r="I94" s="9"/>
      <c r="J94" s="9"/>
      <c r="K94" s="9"/>
      <c r="L94" s="9"/>
    </row>
    <row r="95" customFormat="false" ht="22.5" hidden="false" customHeight="true" outlineLevel="0" collapsed="false">
      <c r="A95" s="25"/>
      <c r="B95" s="9"/>
      <c r="C95" s="26"/>
      <c r="D95" s="9"/>
      <c r="E95" s="9"/>
      <c r="F95" s="9"/>
      <c r="G95" s="9"/>
      <c r="H95" s="9"/>
      <c r="I95" s="9"/>
      <c r="J95" s="9"/>
      <c r="K95" s="9"/>
      <c r="L95" s="9"/>
    </row>
    <row r="96" customFormat="false" ht="22.5" hidden="false" customHeight="true" outlineLevel="0" collapsed="false">
      <c r="A96" s="25"/>
      <c r="B96" s="9"/>
      <c r="C96" s="26"/>
      <c r="D96" s="9"/>
      <c r="E96" s="9"/>
      <c r="F96" s="9"/>
      <c r="G96" s="9"/>
      <c r="H96" s="9"/>
      <c r="I96" s="9"/>
      <c r="J96" s="9"/>
      <c r="K96" s="9"/>
      <c r="L96" s="9"/>
    </row>
    <row r="97" customFormat="false" ht="22.5" hidden="false" customHeight="true" outlineLevel="0" collapsed="false">
      <c r="A97" s="25"/>
      <c r="B97" s="30"/>
      <c r="C97" s="26"/>
      <c r="D97" s="9"/>
      <c r="E97" s="9"/>
      <c r="F97" s="9"/>
      <c r="G97" s="9"/>
      <c r="H97" s="9"/>
      <c r="I97" s="9"/>
      <c r="J97" s="9"/>
      <c r="K97" s="9"/>
      <c r="L97" s="9"/>
    </row>
    <row r="98" customFormat="false" ht="22.5" hidden="false" customHeight="true" outlineLevel="0" collapsed="false">
      <c r="A98" s="25"/>
      <c r="B98" s="30"/>
      <c r="C98" s="26"/>
      <c r="D98" s="9"/>
      <c r="E98" s="9"/>
      <c r="F98" s="9"/>
      <c r="G98" s="9"/>
      <c r="H98" s="9"/>
      <c r="I98" s="9"/>
      <c r="J98" s="9"/>
      <c r="K98" s="9"/>
      <c r="L98" s="9"/>
    </row>
    <row r="99" customFormat="false" ht="22.5" hidden="false" customHeight="true" outlineLevel="0" collapsed="false">
      <c r="A99" s="29"/>
      <c r="B99" s="29"/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customFormat="false" ht="22.5" hidden="false" customHeight="true" outlineLevel="0" collapsed="false">
      <c r="A100" s="25"/>
      <c r="B100" s="9"/>
      <c r="C100" s="26"/>
      <c r="D100" s="9"/>
      <c r="E100" s="9"/>
      <c r="F100" s="9"/>
      <c r="G100" s="9"/>
      <c r="H100" s="9"/>
      <c r="I100" s="9"/>
      <c r="J100" s="9"/>
      <c r="K100" s="9"/>
      <c r="L100" s="9"/>
    </row>
    <row r="101" customFormat="false" ht="22.5" hidden="false" customHeight="true" outlineLevel="0" collapsed="false">
      <c r="A101" s="25"/>
      <c r="B101" s="9"/>
      <c r="C101" s="26"/>
      <c r="D101" s="9"/>
      <c r="E101" s="9"/>
      <c r="F101" s="9"/>
      <c r="G101" s="9"/>
      <c r="H101" s="9"/>
      <c r="I101" s="9"/>
      <c r="J101" s="9"/>
      <c r="K101" s="9"/>
      <c r="L101" s="9"/>
    </row>
    <row r="102" customFormat="false" ht="15.75" hidden="false" customHeight="false" outlineLevel="0" collapsed="false">
      <c r="A102" s="37"/>
      <c r="B102" s="38"/>
      <c r="C102" s="39"/>
      <c r="D102" s="4"/>
      <c r="E102" s="4"/>
      <c r="F102" s="4"/>
      <c r="G102" s="4"/>
      <c r="H102" s="4"/>
      <c r="I102" s="4"/>
      <c r="J102" s="4"/>
      <c r="K102" s="4"/>
      <c r="L102" s="9"/>
    </row>
    <row r="103" customFormat="false" ht="15.75" hidden="false" customHeight="false" outlineLevel="0" collapsed="false">
      <c r="A103" s="37"/>
      <c r="B103" s="38"/>
      <c r="C103" s="39"/>
      <c r="D103" s="4"/>
      <c r="E103" s="4"/>
      <c r="F103" s="4"/>
      <c r="G103" s="4"/>
      <c r="H103" s="4"/>
      <c r="I103" s="4"/>
      <c r="J103" s="4"/>
      <c r="K103" s="4"/>
      <c r="L103" s="9"/>
    </row>
    <row r="104" customFormat="false" ht="15.75" hidden="false" customHeight="false" outlineLevel="0" collapsed="false">
      <c r="A104" s="37"/>
      <c r="B104" s="40"/>
      <c r="C104" s="39"/>
      <c r="D104" s="4"/>
      <c r="E104" s="4"/>
      <c r="F104" s="4"/>
      <c r="G104" s="4"/>
      <c r="H104" s="4"/>
      <c r="I104" s="4"/>
      <c r="J104" s="4"/>
      <c r="K104" s="4"/>
      <c r="L104" s="9"/>
    </row>
    <row r="105" customFormat="false" ht="15.75" hidden="false" customHeight="false" outlineLevel="0" collapsed="false">
      <c r="A105" s="37"/>
      <c r="B105" s="40"/>
      <c r="C105" s="39"/>
      <c r="D105" s="4"/>
      <c r="E105" s="4"/>
      <c r="F105" s="4"/>
      <c r="G105" s="4"/>
      <c r="H105" s="4"/>
      <c r="I105" s="4"/>
      <c r="J105" s="4"/>
      <c r="K105" s="4"/>
      <c r="L105" s="9"/>
    </row>
    <row r="106" customFormat="false" ht="15.75" hidden="false" customHeight="false" outlineLevel="0" collapsed="false">
      <c r="A106" s="37"/>
      <c r="B106" s="38"/>
      <c r="C106" s="39"/>
      <c r="D106" s="4"/>
      <c r="E106" s="4"/>
      <c r="F106" s="4"/>
      <c r="G106" s="4"/>
      <c r="H106" s="4"/>
      <c r="I106" s="4"/>
      <c r="J106" s="4"/>
      <c r="K106" s="4"/>
      <c r="L106" s="9"/>
    </row>
    <row r="107" customFormat="false" ht="15.75" hidden="false" customHeight="false" outlineLevel="0" collapsed="false">
      <c r="A107" s="37"/>
      <c r="B107" s="4"/>
      <c r="C107" s="39"/>
      <c r="D107" s="4"/>
      <c r="E107" s="4"/>
      <c r="F107" s="4"/>
      <c r="G107" s="4"/>
      <c r="H107" s="4"/>
      <c r="I107" s="4"/>
      <c r="J107" s="4"/>
      <c r="K107" s="4"/>
      <c r="L107" s="9"/>
    </row>
    <row r="108" customFormat="false" ht="15.75" hidden="false" customHeight="false" outlineLevel="0" collapsed="false">
      <c r="A108" s="37"/>
      <c r="B108" s="38"/>
      <c r="C108" s="39"/>
      <c r="D108" s="4"/>
      <c r="E108" s="4"/>
      <c r="F108" s="4"/>
      <c r="G108" s="4"/>
      <c r="H108" s="4"/>
      <c r="I108" s="4"/>
      <c r="J108" s="4"/>
      <c r="K108" s="4"/>
      <c r="L108" s="9"/>
    </row>
    <row r="109" customFormat="false" ht="15.75" hidden="false" customHeight="false" outlineLevel="0" collapsed="false">
      <c r="A109" s="37"/>
      <c r="B109" s="41"/>
      <c r="C109" s="39"/>
      <c r="D109" s="4"/>
      <c r="E109" s="4"/>
      <c r="F109" s="4"/>
      <c r="G109" s="4"/>
      <c r="H109" s="4"/>
      <c r="I109" s="4"/>
      <c r="J109" s="4"/>
      <c r="K109" s="4"/>
      <c r="L109" s="9"/>
    </row>
    <row r="110" customFormat="false" ht="15.75" hidden="false" customHeight="false" outlineLevel="0" collapsed="false">
      <c r="A110" s="42"/>
      <c r="B110" s="42"/>
      <c r="C110" s="4"/>
      <c r="D110" s="4"/>
      <c r="E110" s="4"/>
      <c r="F110" s="4"/>
      <c r="G110" s="4"/>
      <c r="H110" s="4"/>
      <c r="I110" s="4"/>
      <c r="J110" s="4"/>
      <c r="K110" s="4"/>
      <c r="L110" s="9"/>
    </row>
    <row r="111" customFormat="false" ht="15.75" hidden="false" customHeight="false" outlineLevel="0" collapsed="false">
      <c r="A111" s="43"/>
      <c r="B111" s="39"/>
      <c r="C111" s="39"/>
      <c r="D111" s="4"/>
      <c r="E111" s="4"/>
      <c r="F111" s="4"/>
      <c r="G111" s="4"/>
      <c r="H111" s="4"/>
      <c r="I111" s="4"/>
      <c r="J111" s="4"/>
      <c r="K111" s="4"/>
      <c r="L111" s="9"/>
    </row>
    <row r="112" customFormat="false" ht="15.75" hidden="false" customHeight="false" outlineLevel="0" collapsed="false">
      <c r="A112" s="42"/>
      <c r="B112" s="42"/>
      <c r="C112" s="4"/>
      <c r="D112" s="4"/>
      <c r="E112" s="4"/>
      <c r="F112" s="4"/>
      <c r="G112" s="4"/>
      <c r="H112" s="4"/>
      <c r="I112" s="4"/>
      <c r="J112" s="4"/>
      <c r="K112" s="4"/>
      <c r="L112" s="9"/>
    </row>
    <row r="113" customFormat="false" ht="15.75" hidden="false" customHeight="false" outlineLevel="0" collapsed="false">
      <c r="A113" s="37"/>
      <c r="B113" s="4"/>
      <c r="C113" s="39"/>
      <c r="D113" s="4"/>
      <c r="E113" s="4"/>
      <c r="F113" s="4"/>
      <c r="G113" s="4"/>
      <c r="H113" s="4"/>
      <c r="I113" s="4"/>
      <c r="J113" s="4"/>
      <c r="K113" s="4"/>
      <c r="L113" s="9"/>
    </row>
    <row r="114" customFormat="false" ht="15.75" hidden="false" customHeight="false" outlineLevel="0" collapsed="false">
      <c r="A114" s="37"/>
      <c r="B114" s="38"/>
      <c r="C114" s="39"/>
      <c r="D114" s="4"/>
      <c r="E114" s="4"/>
      <c r="F114" s="4"/>
      <c r="G114" s="4"/>
      <c r="H114" s="4"/>
      <c r="I114" s="4"/>
      <c r="J114" s="4"/>
      <c r="K114" s="4"/>
      <c r="L114" s="9"/>
    </row>
    <row r="115" customFormat="false" ht="15.75" hidden="false" customHeight="false" outlineLevel="0" collapsed="false">
      <c r="A115" s="37"/>
      <c r="B115" s="4"/>
      <c r="C115" s="39"/>
      <c r="D115" s="4"/>
      <c r="E115" s="4"/>
      <c r="F115" s="4"/>
      <c r="G115" s="4"/>
      <c r="H115" s="4"/>
      <c r="I115" s="4"/>
      <c r="J115" s="4"/>
      <c r="K115" s="4"/>
      <c r="L115" s="9"/>
    </row>
    <row r="116" customFormat="false" ht="15.75" hidden="false" customHeight="false" outlineLevel="0" collapsed="false">
      <c r="A116" s="37"/>
      <c r="B116" s="4"/>
      <c r="C116" s="39"/>
      <c r="D116" s="4"/>
      <c r="E116" s="4"/>
      <c r="F116" s="4"/>
      <c r="G116" s="4"/>
      <c r="H116" s="4"/>
      <c r="I116" s="4"/>
      <c r="J116" s="4"/>
      <c r="K116" s="4"/>
      <c r="L116" s="9"/>
    </row>
    <row r="117" customFormat="false" ht="15.75" hidden="false" customHeight="false" outlineLevel="0" collapsed="false">
      <c r="A117" s="37"/>
      <c r="B117" s="38"/>
      <c r="C117" s="39"/>
      <c r="D117" s="4"/>
      <c r="E117" s="4"/>
      <c r="F117" s="4"/>
      <c r="G117" s="4"/>
      <c r="H117" s="4"/>
      <c r="I117" s="4"/>
      <c r="J117" s="4"/>
      <c r="K117" s="4"/>
      <c r="L117" s="9"/>
    </row>
    <row r="118" customFormat="false" ht="15.7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9"/>
    </row>
    <row r="119" customFormat="false" ht="15.7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9"/>
    </row>
    <row r="120" customFormat="false" ht="15.75" hidden="false" customHeight="false" outlineLevel="0" collapsed="false">
      <c r="A120" s="4"/>
      <c r="B120" s="4"/>
      <c r="C120" s="39"/>
      <c r="D120" s="4"/>
      <c r="E120" s="4"/>
      <c r="F120" s="4"/>
      <c r="G120" s="4"/>
      <c r="H120" s="4"/>
      <c r="I120" s="4"/>
      <c r="J120" s="4"/>
      <c r="K120" s="4"/>
      <c r="L120" s="9"/>
    </row>
    <row r="121" customFormat="false" ht="15.75" hidden="false" customHeight="false" outlineLevel="0" collapsed="false">
      <c r="A121" s="1"/>
      <c r="B121" s="1"/>
      <c r="C121" s="1"/>
      <c r="D121" s="1"/>
      <c r="E121" s="1"/>
      <c r="F121" s="1"/>
      <c r="G121" s="3"/>
      <c r="H121" s="1"/>
      <c r="I121" s="4"/>
      <c r="J121" s="1"/>
      <c r="K121" s="1"/>
      <c r="L121" s="9"/>
    </row>
    <row r="122" customFormat="false" ht="15.7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4"/>
      <c r="J122" s="1"/>
      <c r="K122" s="1"/>
      <c r="L122" s="9"/>
    </row>
    <row r="123" customFormat="false" ht="15.7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4"/>
      <c r="J123" s="1"/>
      <c r="K123" s="1"/>
      <c r="L123" s="9"/>
    </row>
    <row r="124" customFormat="false" ht="15.7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4"/>
      <c r="J124" s="1"/>
      <c r="K124" s="1"/>
      <c r="L124" s="9"/>
    </row>
    <row r="125" customFormat="false" ht="15.7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4"/>
      <c r="J125" s="1"/>
      <c r="K125" s="1"/>
      <c r="L125" s="9"/>
    </row>
    <row r="126" customFormat="false" ht="15.7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0"/>
    </row>
    <row r="127" customFormat="false" ht="15.7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0"/>
    </row>
    <row r="128" customFormat="false" ht="15.7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0"/>
    </row>
    <row r="129" customFormat="false" ht="15.7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0"/>
    </row>
    <row r="130" customFormat="false" ht="15.7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0"/>
    </row>
    <row r="131" customFormat="false" ht="15.7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0"/>
    </row>
    <row r="132" customFormat="false" ht="15.7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0"/>
    </row>
    <row r="133" customFormat="false" ht="15.7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0"/>
    </row>
    <row r="134" customFormat="false" ht="15.7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0"/>
    </row>
    <row r="135" customFormat="false" ht="15.7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0"/>
    </row>
    <row r="136" customFormat="false" ht="15.7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0"/>
    </row>
    <row r="137" customFormat="false" ht="15.7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0"/>
    </row>
    <row r="138" customFormat="false" ht="15.7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0"/>
    </row>
    <row r="139" customFormat="false" ht="15.7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0"/>
    </row>
    <row r="140" customFormat="false" ht="15.7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0"/>
    </row>
    <row r="141" customFormat="false" ht="15.7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0"/>
    </row>
    <row r="142" customFormat="false" ht="15.7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0"/>
    </row>
    <row r="143" customFormat="false" ht="15.7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0"/>
    </row>
    <row r="144" customFormat="false" ht="15.7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0"/>
    </row>
    <row r="145" customFormat="false" ht="15.7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0"/>
    </row>
    <row r="146" customFormat="false" ht="15.7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0"/>
    </row>
    <row r="147" customFormat="false" ht="15.7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0"/>
    </row>
    <row r="148" customFormat="false" ht="15.7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0"/>
    </row>
    <row r="149" customFormat="false" ht="15.7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0"/>
    </row>
    <row r="150" customFormat="false" ht="15.7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0"/>
    </row>
    <row r="151" customFormat="false" ht="15.7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0"/>
    </row>
    <row r="152" customFormat="false" ht="15.7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0"/>
    </row>
    <row r="153" customFormat="false" ht="15.7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0"/>
    </row>
    <row r="154" customFormat="false" ht="15.7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0"/>
    </row>
    <row r="155" customFormat="false" ht="15.7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0"/>
    </row>
    <row r="156" customFormat="false" ht="15.7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0"/>
    </row>
    <row r="157" customFormat="false" ht="15.7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0"/>
    </row>
    <row r="158" customFormat="false" ht="15.7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0"/>
    </row>
    <row r="159" customFormat="false" ht="15.7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0"/>
    </row>
    <row r="160" customFormat="false" ht="15.7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0"/>
    </row>
    <row r="161" customFormat="false" ht="15.7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0"/>
    </row>
    <row r="162" customFormat="false" ht="15.7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0"/>
    </row>
    <row r="163" customFormat="false" ht="15.7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0"/>
    </row>
    <row r="164" customFormat="false" ht="15.7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0"/>
    </row>
    <row r="165" customFormat="false" ht="15.7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0"/>
    </row>
    <row r="166" customFormat="false" ht="15.7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0"/>
    </row>
    <row r="167" customFormat="false" ht="15.7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0"/>
    </row>
    <row r="168" customFormat="false" ht="15.7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0"/>
    </row>
    <row r="169" customFormat="false" ht="15.7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0"/>
    </row>
    <row r="170" customFormat="false" ht="15.7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0"/>
    </row>
    <row r="171" customFormat="false" ht="15.7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0"/>
    </row>
    <row r="172" customFormat="false" ht="15.7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0"/>
    </row>
    <row r="173" customFormat="false" ht="15.7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0"/>
    </row>
    <row r="174" customFormat="false" ht="15.7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0"/>
    </row>
    <row r="175" customFormat="false" ht="15.7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0"/>
    </row>
    <row r="176" customFormat="false" ht="15.7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0"/>
    </row>
    <row r="177" customFormat="false" ht="15.7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0"/>
    </row>
    <row r="178" customFormat="false" ht="15.7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0"/>
    </row>
    <row r="179" customFormat="false" ht="15.7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0"/>
    </row>
    <row r="180" customFormat="false" ht="15.7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0"/>
    </row>
    <row r="181" customFormat="false" ht="15.7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0"/>
    </row>
    <row r="182" customFormat="false" ht="15.7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0"/>
    </row>
    <row r="183" customFormat="false" ht="15.7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0"/>
    </row>
    <row r="184" customFormat="false" ht="15.7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0"/>
    </row>
    <row r="185" customFormat="false" ht="15.7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0"/>
    </row>
    <row r="186" customFormat="false" ht="15.7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0"/>
    </row>
    <row r="187" customFormat="false" ht="15.7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0"/>
    </row>
    <row r="188" customFormat="false" ht="15.7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0"/>
    </row>
    <row r="189" customFormat="false" ht="15.7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0"/>
    </row>
    <row r="190" customFormat="false" ht="15.7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0"/>
    </row>
    <row r="191" customFormat="false" ht="15.7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0"/>
    </row>
    <row r="192" customFormat="false" ht="15.7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0"/>
    </row>
    <row r="193" customFormat="false" ht="15.7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0"/>
    </row>
    <row r="194" customFormat="false" ht="15.7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0"/>
    </row>
    <row r="195" customFormat="false" ht="15.7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0"/>
    </row>
    <row r="196" customFormat="false" ht="15.7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0"/>
    </row>
    <row r="197" customFormat="false" ht="15.7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0"/>
    </row>
    <row r="198" customFormat="false" ht="15.7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0"/>
    </row>
    <row r="199" customFormat="false" ht="15.7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0"/>
    </row>
    <row r="200" customFormat="false" ht="15.7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0"/>
    </row>
    <row r="201" customFormat="false" ht="15.7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0"/>
    </row>
    <row r="202" customFormat="false" ht="15.7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0"/>
    </row>
    <row r="203" customFormat="false" ht="15.7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0"/>
    </row>
    <row r="204" customFormat="false" ht="15.7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0"/>
    </row>
    <row r="205" customFormat="false" ht="15.7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0"/>
    </row>
    <row r="206" customFormat="false" ht="15.7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0"/>
    </row>
    <row r="207" customFormat="false" ht="15.7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0"/>
    </row>
    <row r="208" customFormat="false" ht="15.7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0"/>
    </row>
    <row r="209" customFormat="false" ht="15.7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0"/>
    </row>
    <row r="210" customFormat="false" ht="15.7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0"/>
    </row>
    <row r="211" customFormat="false" ht="15.7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0"/>
    </row>
    <row r="212" customFormat="false" ht="15.7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0"/>
    </row>
    <row r="213" customFormat="false" ht="15.7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0"/>
    </row>
    <row r="214" customFormat="false" ht="15.7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0"/>
    </row>
    <row r="215" customFormat="false" ht="15.7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0"/>
    </row>
    <row r="216" customFormat="false" ht="15.7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0"/>
    </row>
    <row r="217" customFormat="false" ht="15.7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0"/>
    </row>
    <row r="218" customFormat="false" ht="15.7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0"/>
    </row>
    <row r="219" customFormat="false" ht="15.7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0"/>
    </row>
    <row r="220" customFormat="false" ht="15.7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0"/>
    </row>
    <row r="221" customFormat="false" ht="15.7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0"/>
    </row>
    <row r="222" customFormat="false" ht="15.7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0"/>
    </row>
    <row r="223" customFormat="false" ht="15.7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0"/>
    </row>
    <row r="224" customFormat="false" ht="15.7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0"/>
    </row>
    <row r="225" customFormat="false" ht="15.7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0"/>
    </row>
    <row r="226" customFormat="false" ht="15.7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0"/>
    </row>
    <row r="227" customFormat="false" ht="15.7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0"/>
    </row>
    <row r="228" customFormat="false" ht="15.7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0"/>
    </row>
    <row r="229" customFormat="false" ht="15.7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0"/>
    </row>
    <row r="230" customFormat="false" ht="15.7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0"/>
    </row>
    <row r="231" customFormat="false" ht="15.7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0"/>
    </row>
    <row r="232" customFormat="false" ht="15.7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0"/>
    </row>
    <row r="233" customFormat="false" ht="15.7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0"/>
    </row>
    <row r="234" customFormat="false" ht="15.7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0"/>
    </row>
    <row r="235" customFormat="false" ht="15.7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0"/>
    </row>
    <row r="236" customFormat="false" ht="15.7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0"/>
    </row>
    <row r="237" customFormat="false" ht="15.7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0"/>
    </row>
    <row r="238" customFormat="false" ht="15.7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0"/>
    </row>
    <row r="239" customFormat="false" ht="15.7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0"/>
    </row>
    <row r="240" customFormat="false" ht="15.7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0"/>
    </row>
    <row r="241" customFormat="false" ht="15.7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0"/>
    </row>
    <row r="242" customFormat="false" ht="15.7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0"/>
    </row>
    <row r="243" customFormat="false" ht="15.7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0"/>
    </row>
    <row r="244" customFormat="false" ht="15.7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0"/>
    </row>
    <row r="245" customFormat="false" ht="15.7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0"/>
    </row>
    <row r="246" customFormat="false" ht="15.7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0"/>
    </row>
    <row r="247" customFormat="false" ht="15.7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0"/>
    </row>
    <row r="248" customFormat="false" ht="15.7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0"/>
    </row>
    <row r="249" customFormat="false" ht="15.7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0"/>
    </row>
    <row r="250" customFormat="false" ht="15.7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0"/>
    </row>
    <row r="251" customFormat="false" ht="15.7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0"/>
    </row>
    <row r="252" customFormat="false" ht="15.75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0"/>
    </row>
    <row r="253" customFormat="false" ht="15.7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0"/>
    </row>
    <row r="254" customFormat="false" ht="15.7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0"/>
    </row>
    <row r="255" customFormat="false" ht="15.7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0"/>
    </row>
    <row r="256" customFormat="false" ht="15.7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0"/>
    </row>
    <row r="257" customFormat="false" ht="15.7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0"/>
    </row>
    <row r="258" customFormat="false" ht="15.7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0"/>
    </row>
    <row r="259" customFormat="false" ht="15.7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0"/>
    </row>
    <row r="260" customFormat="false" ht="15.7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0"/>
    </row>
    <row r="261" customFormat="false" ht="15.7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0"/>
    </row>
    <row r="262" customFormat="false" ht="15.7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0"/>
    </row>
    <row r="263" customFormat="false" ht="15.7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0"/>
    </row>
    <row r="264" customFormat="false" ht="15.7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0"/>
    </row>
    <row r="265" customFormat="false" ht="15.7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0"/>
    </row>
    <row r="266" customFormat="false" ht="15.7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0"/>
    </row>
    <row r="267" customFormat="false" ht="15.7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0"/>
    </row>
    <row r="268" customFormat="false" ht="15.7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0"/>
    </row>
    <row r="269" customFormat="false" ht="15.7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0"/>
    </row>
    <row r="270" customFormat="false" ht="15.7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0"/>
    </row>
    <row r="271" customFormat="false" ht="15.7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0"/>
    </row>
    <row r="272" customFormat="false" ht="15.7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0"/>
    </row>
    <row r="273" customFormat="false" ht="15.7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0"/>
    </row>
    <row r="274" customFormat="false" ht="15.7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0"/>
    </row>
    <row r="275" customFormat="false" ht="15.7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0"/>
    </row>
    <row r="276" customFormat="false" ht="15.7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0"/>
    </row>
    <row r="277" customFormat="false" ht="15.7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0"/>
    </row>
    <row r="278" customFormat="false" ht="15.7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0"/>
    </row>
    <row r="279" customFormat="false" ht="15.7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0"/>
    </row>
    <row r="280" customFormat="false" ht="15.7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0"/>
    </row>
    <row r="281" customFormat="false" ht="15.7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0"/>
    </row>
    <row r="282" customFormat="false" ht="15.7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0"/>
    </row>
    <row r="283" customFormat="false" ht="15.7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0"/>
    </row>
    <row r="284" customFormat="false" ht="15.7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0"/>
    </row>
    <row r="285" customFormat="false" ht="15.7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0"/>
    </row>
    <row r="286" customFormat="false" ht="15.7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0"/>
    </row>
    <row r="287" customFormat="false" ht="15.7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0"/>
    </row>
    <row r="288" customFormat="false" ht="15.7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0"/>
    </row>
    <row r="289" customFormat="false" ht="15.7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0"/>
    </row>
    <row r="290" customFormat="false" ht="15.7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0"/>
    </row>
    <row r="291" customFormat="false" ht="15.7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0"/>
    </row>
    <row r="292" customFormat="false" ht="15.7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0"/>
    </row>
    <row r="293" customFormat="false" ht="15.7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0"/>
    </row>
    <row r="294" customFormat="false" ht="15.7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0"/>
    </row>
    <row r="295" customFormat="false" ht="15.7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0"/>
    </row>
    <row r="296" customFormat="false" ht="15.7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0"/>
    </row>
    <row r="297" customFormat="false" ht="15.7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0"/>
    </row>
    <row r="298" customFormat="false" ht="15.7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0"/>
    </row>
    <row r="299" customFormat="false" ht="15.7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0"/>
    </row>
    <row r="300" customFormat="false" ht="15.7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0"/>
    </row>
    <row r="301" customFormat="false" ht="15.75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0"/>
    </row>
    <row r="302" customFormat="false" ht="15.75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0"/>
    </row>
    <row r="303" customFormat="false" ht="15.75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0"/>
    </row>
    <row r="304" customFormat="false" ht="15.75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0"/>
    </row>
    <row r="305" customFormat="false" ht="15.75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0"/>
    </row>
    <row r="306" customFormat="false" ht="15.75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0"/>
    </row>
    <row r="307" customFormat="false" ht="15.75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0"/>
    </row>
    <row r="308" customFormat="false" ht="15.75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0"/>
    </row>
    <row r="309" customFormat="false" ht="15.75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0"/>
    </row>
    <row r="310" customFormat="false" ht="15.75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0"/>
    </row>
    <row r="311" customFormat="false" ht="15.75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0"/>
    </row>
    <row r="312" customFormat="false" ht="15.75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0"/>
    </row>
    <row r="313" customFormat="false" ht="15.75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0"/>
    </row>
    <row r="314" customFormat="false" ht="15.75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0"/>
    </row>
    <row r="315" customFormat="false" ht="15.75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0"/>
    </row>
    <row r="316" customFormat="false" ht="15.75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0"/>
    </row>
    <row r="317" customFormat="false" ht="15.75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0"/>
    </row>
    <row r="318" customFormat="false" ht="15.75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0"/>
    </row>
    <row r="319" customFormat="false" ht="15.75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0"/>
    </row>
    <row r="320" customFormat="false" ht="15.75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0"/>
    </row>
    <row r="321" customFormat="false" ht="15.75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0"/>
    </row>
    <row r="322" customFormat="false" ht="15.75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0"/>
    </row>
    <row r="323" customFormat="false" ht="15.75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0"/>
    </row>
    <row r="324" customFormat="false" ht="15.75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0"/>
    </row>
    <row r="325" customFormat="false" ht="15.75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0"/>
    </row>
    <row r="326" customFormat="false" ht="15.75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0"/>
    </row>
    <row r="327" customFormat="false" ht="15.75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0"/>
    </row>
    <row r="328" customFormat="false" ht="15.75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0"/>
    </row>
    <row r="329" customFormat="false" ht="15.75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0"/>
    </row>
    <row r="330" customFormat="false" ht="15.75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0"/>
    </row>
    <row r="331" customFormat="false" ht="15.75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0"/>
    </row>
    <row r="332" customFormat="false" ht="15.75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0"/>
    </row>
    <row r="333" customFormat="false" ht="15.75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0"/>
    </row>
    <row r="334" customFormat="false" ht="15.75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0"/>
    </row>
    <row r="335" customFormat="false" ht="15.75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0"/>
    </row>
    <row r="336" customFormat="false" ht="15.75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0"/>
    </row>
    <row r="337" customFormat="false" ht="15.75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0"/>
    </row>
    <row r="338" customFormat="false" ht="15.75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0"/>
    </row>
    <row r="339" customFormat="false" ht="15.75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0"/>
    </row>
    <row r="340" customFormat="false" ht="15.75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0"/>
    </row>
    <row r="341" customFormat="false" ht="15.75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0"/>
    </row>
    <row r="342" customFormat="false" ht="15.75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0"/>
    </row>
    <row r="343" customFormat="false" ht="15.75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0"/>
    </row>
    <row r="344" customFormat="false" ht="15.75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0"/>
    </row>
    <row r="345" customFormat="false" ht="15.75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0"/>
    </row>
    <row r="346" customFormat="false" ht="15.75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0"/>
    </row>
    <row r="347" customFormat="false" ht="15.75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0"/>
    </row>
    <row r="348" customFormat="false" ht="15.75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0"/>
    </row>
    <row r="349" customFormat="false" ht="15.75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0"/>
    </row>
    <row r="350" customFormat="false" ht="15.75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0"/>
    </row>
    <row r="351" customFormat="false" ht="15.75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0"/>
    </row>
    <row r="352" customFormat="false" ht="15.75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0"/>
    </row>
    <row r="353" customFormat="false" ht="15.75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0"/>
    </row>
    <row r="354" customFormat="false" ht="15.75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0"/>
    </row>
    <row r="355" customFormat="false" ht="15.75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0"/>
    </row>
    <row r="356" customFormat="false" ht="15.75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0"/>
    </row>
    <row r="357" customFormat="false" ht="15.75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0"/>
    </row>
    <row r="358" customFormat="false" ht="15.75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0"/>
    </row>
    <row r="359" customFormat="false" ht="15.75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0"/>
    </row>
    <row r="360" customFormat="false" ht="15.75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0"/>
    </row>
    <row r="361" customFormat="false" ht="15.75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0"/>
    </row>
    <row r="362" customFormat="false" ht="15.75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0"/>
    </row>
    <row r="363" customFormat="false" ht="15.75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0"/>
    </row>
    <row r="364" customFormat="false" ht="15.75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0"/>
    </row>
    <row r="365" customFormat="false" ht="15.75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0"/>
    </row>
    <row r="366" customFormat="false" ht="15.75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0"/>
    </row>
    <row r="367" customFormat="false" ht="15.75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0"/>
    </row>
    <row r="368" customFormat="false" ht="15.75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0"/>
    </row>
    <row r="369" customFormat="false" ht="15.75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0"/>
    </row>
    <row r="370" customFormat="false" ht="15.75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0"/>
    </row>
    <row r="371" customFormat="false" ht="15.75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0"/>
    </row>
    <row r="372" customFormat="false" ht="15.75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0"/>
    </row>
    <row r="373" customFormat="false" ht="15.75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0"/>
    </row>
    <row r="374" customFormat="false" ht="15.75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0"/>
    </row>
    <row r="375" customFormat="false" ht="15.75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0"/>
    </row>
    <row r="376" customFormat="false" ht="15.75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0"/>
    </row>
    <row r="377" customFormat="false" ht="15.75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0"/>
    </row>
    <row r="378" customFormat="false" ht="15.75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0"/>
    </row>
    <row r="379" customFormat="false" ht="15.75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0"/>
    </row>
    <row r="380" customFormat="false" ht="15.75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0"/>
    </row>
    <row r="381" customFormat="false" ht="15.75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0"/>
    </row>
    <row r="382" customFormat="false" ht="15.75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0"/>
    </row>
    <row r="383" customFormat="false" ht="15.75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0"/>
    </row>
    <row r="384" customFormat="false" ht="15.75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0"/>
    </row>
    <row r="385" customFormat="false" ht="15.75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0"/>
    </row>
    <row r="386" customFormat="false" ht="15.75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0"/>
    </row>
    <row r="387" customFormat="false" ht="15.75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0"/>
    </row>
    <row r="388" customFormat="false" ht="15.75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0"/>
    </row>
    <row r="389" customFormat="false" ht="15.75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0"/>
    </row>
    <row r="390" customFormat="false" ht="15.75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0"/>
    </row>
    <row r="391" customFormat="false" ht="15.75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0"/>
    </row>
    <row r="392" customFormat="false" ht="15.75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0"/>
    </row>
    <row r="393" customFormat="false" ht="15.75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0"/>
    </row>
    <row r="394" customFormat="false" ht="15.75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0"/>
    </row>
    <row r="395" customFormat="false" ht="15.75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0"/>
    </row>
    <row r="396" customFormat="false" ht="15.75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0"/>
    </row>
    <row r="397" customFormat="false" ht="15.75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0"/>
    </row>
    <row r="398" customFormat="false" ht="15.75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0"/>
    </row>
    <row r="399" customFormat="false" ht="15.75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0"/>
    </row>
    <row r="400" customFormat="false" ht="15.75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0"/>
    </row>
    <row r="401" customFormat="false" ht="15.75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0"/>
    </row>
    <row r="402" customFormat="false" ht="15.75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0"/>
    </row>
    <row r="403" customFormat="false" ht="15.75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0"/>
    </row>
    <row r="404" customFormat="false" ht="15.75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0"/>
    </row>
    <row r="405" customFormat="false" ht="15.75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0"/>
    </row>
    <row r="406" customFormat="false" ht="15.75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0"/>
    </row>
    <row r="407" customFormat="false" ht="15.75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0"/>
    </row>
    <row r="408" customFormat="false" ht="15.75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0"/>
    </row>
    <row r="409" customFormat="false" ht="15.75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0"/>
    </row>
    <row r="410" customFormat="false" ht="15.75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0"/>
    </row>
    <row r="411" customFormat="false" ht="15.75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0"/>
    </row>
    <row r="412" customFormat="false" ht="15.75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0"/>
    </row>
    <row r="413" customFormat="false" ht="15.75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0"/>
    </row>
    <row r="414" customFormat="false" ht="15.75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0"/>
    </row>
    <row r="415" customFormat="false" ht="15.75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0"/>
    </row>
    <row r="416" customFormat="false" ht="15.75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0"/>
    </row>
    <row r="417" customFormat="false" ht="15.75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0"/>
    </row>
    <row r="418" customFormat="false" ht="15.75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0"/>
    </row>
    <row r="419" customFormat="false" ht="15.75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0"/>
    </row>
    <row r="420" customFormat="false" ht="15.75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0"/>
    </row>
    <row r="421" customFormat="false" ht="15.75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0"/>
    </row>
    <row r="422" customFormat="false" ht="15.75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0"/>
    </row>
    <row r="423" customFormat="false" ht="15.75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0"/>
    </row>
    <row r="424" customFormat="false" ht="15.75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0"/>
    </row>
    <row r="425" customFormat="false" ht="15.75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0"/>
    </row>
    <row r="426" customFormat="false" ht="15.75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0"/>
    </row>
    <row r="427" customFormat="false" ht="15.75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0"/>
    </row>
    <row r="428" customFormat="false" ht="15.75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0"/>
    </row>
    <row r="429" customFormat="false" ht="15.75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0"/>
    </row>
    <row r="430" customFormat="false" ht="15.75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0"/>
    </row>
    <row r="431" customFormat="false" ht="15.75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0"/>
    </row>
    <row r="432" customFormat="false" ht="15.75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0"/>
    </row>
    <row r="433" customFormat="false" ht="15.75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0"/>
    </row>
    <row r="434" customFormat="false" ht="15.75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0"/>
    </row>
    <row r="435" customFormat="false" ht="15.75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0"/>
    </row>
    <row r="436" customFormat="false" ht="15.75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0"/>
    </row>
    <row r="437" customFormat="false" ht="15.75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0"/>
    </row>
    <row r="438" customFormat="false" ht="15.75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0"/>
    </row>
    <row r="439" customFormat="false" ht="15.75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0"/>
    </row>
    <row r="440" customFormat="false" ht="15.75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0"/>
    </row>
    <row r="441" customFormat="false" ht="15.75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0"/>
    </row>
    <row r="442" customFormat="false" ht="15.75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0"/>
    </row>
    <row r="443" customFormat="false" ht="15.75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0"/>
    </row>
    <row r="444" customFormat="false" ht="15.75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0"/>
    </row>
    <row r="445" customFormat="false" ht="15.75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0"/>
    </row>
    <row r="446" customFormat="false" ht="15.75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0"/>
    </row>
    <row r="447" customFormat="false" ht="15.75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0"/>
    </row>
    <row r="448" customFormat="false" ht="15.75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0"/>
    </row>
    <row r="449" customFormat="false" ht="15.75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0"/>
    </row>
    <row r="450" customFormat="false" ht="15.75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0"/>
    </row>
    <row r="451" customFormat="false" ht="15.75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0"/>
    </row>
    <row r="452" customFormat="false" ht="15.75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0"/>
    </row>
    <row r="453" customFormat="false" ht="15.75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0"/>
    </row>
    <row r="454" customFormat="false" ht="15.75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0"/>
    </row>
    <row r="455" customFormat="false" ht="15.75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0"/>
    </row>
    <row r="456" customFormat="false" ht="15.75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0"/>
    </row>
    <row r="457" customFormat="false" ht="15.75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0"/>
    </row>
    <row r="458" customFormat="false" ht="15.75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0"/>
    </row>
    <row r="459" customFormat="false" ht="15.75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0"/>
    </row>
    <row r="460" customFormat="false" ht="15.75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0"/>
    </row>
    <row r="461" customFormat="false" ht="15.75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0"/>
    </row>
    <row r="462" customFormat="false" ht="15.75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0"/>
    </row>
    <row r="463" customFormat="false" ht="15.75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0"/>
    </row>
    <row r="464" customFormat="false" ht="15.75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0"/>
    </row>
    <row r="465" customFormat="false" ht="15.75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0"/>
    </row>
    <row r="466" customFormat="false" ht="15.75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0"/>
    </row>
    <row r="467" customFormat="false" ht="15.75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0"/>
    </row>
    <row r="468" customFormat="false" ht="15.75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0"/>
    </row>
    <row r="469" customFormat="false" ht="15.75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0"/>
    </row>
    <row r="470" customFormat="false" ht="15.75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0"/>
    </row>
    <row r="471" customFormat="false" ht="15.75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0"/>
    </row>
    <row r="472" customFormat="false" ht="15.75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0"/>
    </row>
    <row r="473" customFormat="false" ht="15.75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0"/>
    </row>
    <row r="474" customFormat="false" ht="15.75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0"/>
    </row>
    <row r="475" customFormat="false" ht="15.75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0"/>
    </row>
    <row r="476" customFormat="false" ht="15.75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0"/>
    </row>
    <row r="477" customFormat="false" ht="15.75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0"/>
    </row>
    <row r="478" customFormat="false" ht="15.75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0"/>
    </row>
    <row r="479" customFormat="false" ht="15.75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0"/>
    </row>
    <row r="480" customFormat="false" ht="15.75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0"/>
    </row>
    <row r="481" customFormat="false" ht="15.75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0"/>
    </row>
    <row r="482" customFormat="false" ht="15.75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0"/>
    </row>
    <row r="483" customFormat="false" ht="15.75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0"/>
    </row>
    <row r="484" customFormat="false" ht="15.75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0"/>
    </row>
    <row r="485" customFormat="false" ht="15.75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0"/>
    </row>
    <row r="486" customFormat="false" ht="15.75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0"/>
    </row>
    <row r="487" customFormat="false" ht="15.75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0"/>
    </row>
    <row r="488" customFormat="false" ht="15.75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0"/>
    </row>
    <row r="489" customFormat="false" ht="15.75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0"/>
    </row>
    <row r="490" customFormat="false" ht="15.75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0"/>
    </row>
    <row r="491" customFormat="false" ht="15.75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0"/>
    </row>
    <row r="492" customFormat="false" ht="15.75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0"/>
    </row>
    <row r="493" customFormat="false" ht="15.75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0"/>
    </row>
    <row r="494" customFormat="false" ht="15.75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0"/>
    </row>
    <row r="495" customFormat="false" ht="15.75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0"/>
    </row>
    <row r="496" customFormat="false" ht="15.75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0"/>
    </row>
    <row r="497" customFormat="false" ht="15.75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0"/>
    </row>
    <row r="498" customFormat="false" ht="15.75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0"/>
    </row>
    <row r="499" customFormat="false" ht="15.75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0"/>
    </row>
    <row r="500" customFormat="false" ht="15.75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0"/>
    </row>
    <row r="501" customFormat="false" ht="15.75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0"/>
    </row>
    <row r="502" customFormat="false" ht="15.75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0"/>
    </row>
    <row r="503" customFormat="false" ht="15.75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0"/>
    </row>
    <row r="504" customFormat="false" ht="15.75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0"/>
    </row>
    <row r="505" customFormat="false" ht="15.75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0"/>
    </row>
    <row r="506" customFormat="false" ht="15.75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0"/>
    </row>
    <row r="507" customFormat="false" ht="15.75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0"/>
    </row>
    <row r="508" customFormat="false" ht="15.75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0"/>
    </row>
    <row r="509" customFormat="false" ht="15.75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0"/>
    </row>
    <row r="510" customFormat="false" ht="15.75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0"/>
    </row>
    <row r="511" customFormat="false" ht="15.75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0"/>
    </row>
    <row r="512" customFormat="false" ht="15.75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0"/>
    </row>
    <row r="513" customFormat="false" ht="15.75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0"/>
    </row>
    <row r="514" customFormat="false" ht="15.75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0"/>
    </row>
    <row r="515" customFormat="false" ht="15.75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0"/>
    </row>
    <row r="516" customFormat="false" ht="15.75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0"/>
    </row>
    <row r="517" customFormat="false" ht="15.75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0"/>
    </row>
    <row r="518" customFormat="false" ht="15.75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0"/>
    </row>
    <row r="519" customFormat="false" ht="15.75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0"/>
    </row>
    <row r="520" customFormat="false" ht="15.75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0"/>
    </row>
    <row r="521" customFormat="false" ht="15.75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0"/>
    </row>
    <row r="522" customFormat="false" ht="15.75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0"/>
    </row>
    <row r="523" customFormat="false" ht="15.75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0"/>
    </row>
    <row r="524" customFormat="false" ht="15.75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0"/>
    </row>
    <row r="525" customFormat="false" ht="15.75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0"/>
    </row>
    <row r="526" customFormat="false" ht="15.75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0"/>
    </row>
    <row r="527" customFormat="false" ht="15.75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0"/>
    </row>
    <row r="528" customFormat="false" ht="15.75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0"/>
    </row>
    <row r="529" customFormat="false" ht="15.75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0"/>
    </row>
    <row r="530" customFormat="false" ht="15.75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0"/>
    </row>
    <row r="531" customFormat="false" ht="15.75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0"/>
    </row>
    <row r="532" customFormat="false" ht="15.75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0"/>
    </row>
    <row r="533" customFormat="false" ht="15.75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0"/>
    </row>
    <row r="534" customFormat="false" ht="15.75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0"/>
    </row>
    <row r="535" customFormat="false" ht="15.75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0"/>
    </row>
    <row r="536" customFormat="false" ht="15.75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0"/>
    </row>
    <row r="537" customFormat="false" ht="15.75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0"/>
    </row>
    <row r="538" customFormat="false" ht="15.75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0"/>
    </row>
    <row r="539" customFormat="false" ht="15.75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0"/>
    </row>
    <row r="540" customFormat="false" ht="15.75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0"/>
    </row>
    <row r="541" customFormat="false" ht="15.75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0"/>
    </row>
    <row r="542" customFormat="false" ht="15.75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0"/>
    </row>
    <row r="543" customFormat="false" ht="15.75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0"/>
    </row>
    <row r="544" customFormat="false" ht="15.75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0"/>
    </row>
    <row r="545" customFormat="false" ht="15.75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0"/>
    </row>
    <row r="546" customFormat="false" ht="15.75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0"/>
    </row>
    <row r="547" customFormat="false" ht="15.75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0"/>
    </row>
    <row r="548" customFormat="false" ht="15.75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0"/>
    </row>
    <row r="549" customFormat="false" ht="15.75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0"/>
    </row>
    <row r="550" customFormat="false" ht="15.75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0"/>
    </row>
    <row r="551" customFormat="false" ht="15.75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0"/>
    </row>
    <row r="552" customFormat="false" ht="15.75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0"/>
    </row>
    <row r="553" customFormat="false" ht="15.75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0"/>
    </row>
    <row r="554" customFormat="false" ht="15.75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0"/>
    </row>
    <row r="555" customFormat="false" ht="15.75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0"/>
    </row>
    <row r="556" customFormat="false" ht="15.75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0"/>
    </row>
    <row r="557" customFormat="false" ht="15.75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0"/>
    </row>
    <row r="558" customFormat="false" ht="15.75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0"/>
    </row>
    <row r="559" customFormat="false" ht="15.75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0"/>
    </row>
    <row r="560" customFormat="false" ht="15.75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0"/>
    </row>
    <row r="561" customFormat="false" ht="15.75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0"/>
    </row>
    <row r="562" customFormat="false" ht="15.75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0"/>
    </row>
    <row r="563" customFormat="false" ht="15.75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0"/>
    </row>
    <row r="564" customFormat="false" ht="15.75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0"/>
    </row>
    <row r="565" customFormat="false" ht="15.75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0"/>
    </row>
    <row r="566" customFormat="false" ht="15.75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0"/>
    </row>
    <row r="567" customFormat="false" ht="15.75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0"/>
    </row>
    <row r="568" customFormat="false" ht="15.75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0"/>
    </row>
    <row r="569" customFormat="false" ht="15.75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0"/>
    </row>
    <row r="570" customFormat="false" ht="15.75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0"/>
    </row>
    <row r="571" customFormat="false" ht="15.75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0"/>
    </row>
    <row r="572" customFormat="false" ht="15.75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0"/>
    </row>
    <row r="573" customFormat="false" ht="15.75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0"/>
    </row>
    <row r="574" customFormat="false" ht="15.75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0"/>
    </row>
    <row r="575" customFormat="false" ht="15.75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0"/>
    </row>
    <row r="576" customFormat="false" ht="15.75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0"/>
    </row>
    <row r="577" customFormat="false" ht="15.75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0"/>
    </row>
    <row r="578" customFormat="false" ht="15.75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0"/>
    </row>
    <row r="579" customFormat="false" ht="15.75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0"/>
    </row>
    <row r="580" customFormat="false" ht="15.75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0"/>
    </row>
    <row r="581" customFormat="false" ht="15.75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0"/>
    </row>
    <row r="582" customFormat="false" ht="15.75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0"/>
    </row>
    <row r="583" customFormat="false" ht="15.75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0"/>
    </row>
    <row r="584" customFormat="false" ht="15.75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0"/>
    </row>
    <row r="585" customFormat="false" ht="15.75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0"/>
    </row>
    <row r="586" customFormat="false" ht="15.75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0"/>
    </row>
    <row r="587" customFormat="false" ht="15.75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0"/>
    </row>
    <row r="588" customFormat="false" ht="15.75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0"/>
    </row>
    <row r="589" customFormat="false" ht="15.75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0"/>
    </row>
    <row r="590" customFormat="false" ht="15.75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0"/>
    </row>
    <row r="591" customFormat="false" ht="15.75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0"/>
    </row>
    <row r="592" customFormat="false" ht="15.75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0"/>
    </row>
    <row r="593" customFormat="false" ht="15.75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0"/>
    </row>
    <row r="594" customFormat="false" ht="15.75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0"/>
    </row>
    <row r="595" customFormat="false" ht="15.75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0"/>
    </row>
    <row r="596" customFormat="false" ht="15.75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0"/>
    </row>
    <row r="597" customFormat="false" ht="15.75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0"/>
    </row>
    <row r="598" customFormat="false" ht="15.75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0"/>
    </row>
    <row r="599" customFormat="false" ht="15.75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0"/>
    </row>
    <row r="600" customFormat="false" ht="15.75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0"/>
    </row>
    <row r="601" customFormat="false" ht="15.75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0"/>
    </row>
    <row r="602" customFormat="false" ht="15.75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0"/>
    </row>
    <row r="603" customFormat="false" ht="15.75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0"/>
    </row>
    <row r="604" customFormat="false" ht="15.75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0"/>
    </row>
    <row r="605" customFormat="false" ht="15.75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0"/>
    </row>
    <row r="606" customFormat="false" ht="15.75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0"/>
    </row>
    <row r="607" customFormat="false" ht="15.75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0"/>
    </row>
    <row r="608" customFormat="false" ht="15.75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0"/>
    </row>
    <row r="609" customFormat="false" ht="15.75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0"/>
    </row>
    <row r="610" customFormat="false" ht="15.75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0"/>
    </row>
    <row r="611" customFormat="false" ht="15.75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0"/>
    </row>
    <row r="612" customFormat="false" ht="15.75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0"/>
    </row>
    <row r="613" customFormat="false" ht="15.75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0"/>
    </row>
    <row r="614" customFormat="false" ht="15.75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0"/>
    </row>
    <row r="615" customFormat="false" ht="15.75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0"/>
    </row>
    <row r="616" customFormat="false" ht="15.75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0"/>
    </row>
    <row r="617" customFormat="false" ht="15.75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0"/>
    </row>
    <row r="618" customFormat="false" ht="15.75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0"/>
    </row>
    <row r="619" customFormat="false" ht="15.75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0"/>
    </row>
    <row r="620" customFormat="false" ht="15.75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0"/>
    </row>
    <row r="621" customFormat="false" ht="15.75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0"/>
    </row>
    <row r="622" customFormat="false" ht="15.75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0"/>
    </row>
    <row r="623" customFormat="false" ht="15.75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0"/>
    </row>
    <row r="624" customFormat="false" ht="15.75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0"/>
    </row>
    <row r="625" customFormat="false" ht="15.75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0"/>
    </row>
    <row r="626" customFormat="false" ht="15.75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0"/>
    </row>
    <row r="627" customFormat="false" ht="15.75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0"/>
    </row>
    <row r="628" customFormat="false" ht="15.75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0"/>
    </row>
    <row r="629" customFormat="false" ht="15.75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0"/>
    </row>
    <row r="630" customFormat="false" ht="15.75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0"/>
    </row>
    <row r="631" customFormat="false" ht="15.75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0"/>
    </row>
    <row r="632" customFormat="false" ht="15.75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0"/>
    </row>
    <row r="633" customFormat="false" ht="15.75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0"/>
    </row>
    <row r="634" customFormat="false" ht="15.75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0"/>
    </row>
    <row r="635" customFormat="false" ht="15.75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0"/>
    </row>
    <row r="636" customFormat="false" ht="15.75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0"/>
    </row>
    <row r="637" customFormat="false" ht="15.75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0"/>
    </row>
    <row r="638" customFormat="false" ht="15.75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0"/>
    </row>
    <row r="639" customFormat="false" ht="15.75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0"/>
    </row>
    <row r="640" customFormat="false" ht="15.75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0"/>
    </row>
    <row r="641" customFormat="false" ht="15.75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0"/>
    </row>
    <row r="642" customFormat="false" ht="15.75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0"/>
    </row>
    <row r="643" customFormat="false" ht="15.75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0"/>
    </row>
    <row r="644" customFormat="false" ht="15.75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0"/>
    </row>
    <row r="645" customFormat="false" ht="15.75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0"/>
    </row>
    <row r="646" customFormat="false" ht="15.75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0"/>
    </row>
    <row r="647" customFormat="false" ht="15.75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0"/>
    </row>
    <row r="648" customFormat="false" ht="15.75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0"/>
    </row>
    <row r="649" customFormat="false" ht="15.75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0"/>
    </row>
    <row r="650" customFormat="false" ht="15.75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0"/>
    </row>
    <row r="651" customFormat="false" ht="15.75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0"/>
    </row>
    <row r="652" customFormat="false" ht="15.75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0"/>
    </row>
    <row r="653" customFormat="false" ht="15.75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0"/>
    </row>
    <row r="654" customFormat="false" ht="15.75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0"/>
    </row>
    <row r="655" customFormat="false" ht="15.75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0"/>
    </row>
    <row r="656" customFormat="false" ht="15.75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0"/>
    </row>
    <row r="657" customFormat="false" ht="15.75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0"/>
    </row>
    <row r="658" customFormat="false" ht="15.75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0"/>
    </row>
    <row r="659" customFormat="false" ht="15.75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0"/>
    </row>
    <row r="660" customFormat="false" ht="15.75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0"/>
    </row>
    <row r="661" customFormat="false" ht="15.75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0"/>
    </row>
    <row r="662" customFormat="false" ht="15.75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0"/>
    </row>
    <row r="663" customFormat="false" ht="15.75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0"/>
    </row>
    <row r="664" customFormat="false" ht="15.75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0"/>
    </row>
    <row r="665" customFormat="false" ht="15.75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0"/>
    </row>
    <row r="666" customFormat="false" ht="15.75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0"/>
    </row>
    <row r="667" customFormat="false" ht="15.75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0"/>
    </row>
    <row r="668" customFormat="false" ht="15.75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0"/>
    </row>
    <row r="669" customFormat="false" ht="15.75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0"/>
    </row>
    <row r="670" customFormat="false" ht="15.75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0"/>
    </row>
    <row r="671" customFormat="false" ht="15.75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0"/>
    </row>
    <row r="672" customFormat="false" ht="15.75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0"/>
    </row>
    <row r="673" customFormat="false" ht="15.75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0"/>
    </row>
    <row r="674" customFormat="false" ht="15.75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0"/>
    </row>
    <row r="675" customFormat="false" ht="15.75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0"/>
    </row>
    <row r="676" customFormat="false" ht="15.75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0"/>
    </row>
    <row r="677" customFormat="false" ht="15.75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0"/>
    </row>
    <row r="678" customFormat="false" ht="15.75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0"/>
    </row>
    <row r="679" customFormat="false" ht="15.75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0"/>
    </row>
    <row r="680" customFormat="false" ht="15.75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0"/>
    </row>
    <row r="681" customFormat="false" ht="15.75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0"/>
    </row>
    <row r="682" customFormat="false" ht="15.75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0"/>
    </row>
    <row r="683" customFormat="false" ht="15.75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0"/>
    </row>
    <row r="684" customFormat="false" ht="15.75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0"/>
    </row>
    <row r="685" customFormat="false" ht="15.75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0"/>
    </row>
    <row r="686" customFormat="false" ht="15.75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0"/>
    </row>
    <row r="687" customFormat="false" ht="15.75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0"/>
    </row>
    <row r="688" customFormat="false" ht="15.75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0"/>
    </row>
    <row r="689" customFormat="false" ht="15.75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0"/>
    </row>
    <row r="690" customFormat="false" ht="15.75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0"/>
    </row>
    <row r="691" customFormat="false" ht="15.75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0"/>
    </row>
    <row r="692" customFormat="false" ht="15.75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0"/>
    </row>
    <row r="693" customFormat="false" ht="15.75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0"/>
    </row>
    <row r="694" customFormat="false" ht="15.75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0"/>
    </row>
    <row r="695" customFormat="false" ht="15.75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0"/>
    </row>
    <row r="696" customFormat="false" ht="15.75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0"/>
    </row>
    <row r="697" customFormat="false" ht="15.75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0"/>
    </row>
    <row r="698" customFormat="false" ht="15.75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0"/>
    </row>
    <row r="699" customFormat="false" ht="15.75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0"/>
    </row>
    <row r="700" customFormat="false" ht="15.75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0"/>
    </row>
    <row r="701" customFormat="false" ht="15.75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0"/>
    </row>
    <row r="702" customFormat="false" ht="15.75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0"/>
    </row>
    <row r="703" customFormat="false" ht="15.75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0"/>
    </row>
    <row r="704" customFormat="false" ht="15.75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0"/>
    </row>
    <row r="705" customFormat="false" ht="15.75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0"/>
    </row>
    <row r="706" customFormat="false" ht="15.75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0"/>
    </row>
    <row r="707" customFormat="false" ht="15.75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0"/>
    </row>
    <row r="708" customFormat="false" ht="15.75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0"/>
    </row>
    <row r="709" customFormat="false" ht="15.75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0"/>
    </row>
    <row r="710" customFormat="false" ht="15.75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0"/>
    </row>
    <row r="711" customFormat="false" ht="15.75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0"/>
    </row>
    <row r="712" customFormat="false" ht="15.75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0"/>
    </row>
    <row r="713" customFormat="false" ht="15.75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0"/>
    </row>
    <row r="714" customFormat="false" ht="15.75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0"/>
    </row>
    <row r="715" customFormat="false" ht="15.75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0"/>
    </row>
    <row r="716" customFormat="false" ht="15.75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0"/>
    </row>
    <row r="717" customFormat="false" ht="15.75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0"/>
    </row>
    <row r="718" customFormat="false" ht="15.75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0"/>
    </row>
    <row r="719" customFormat="false" ht="15.75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0"/>
    </row>
    <row r="720" customFormat="false" ht="15.75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0"/>
    </row>
    <row r="721" customFormat="false" ht="15.75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0"/>
    </row>
    <row r="722" customFormat="false" ht="15.75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0"/>
    </row>
    <row r="723" customFormat="false" ht="15.75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0"/>
    </row>
    <row r="724" customFormat="false" ht="15.75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0"/>
    </row>
    <row r="725" customFormat="false" ht="15.75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0"/>
    </row>
    <row r="726" customFormat="false" ht="15.75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0"/>
    </row>
    <row r="727" customFormat="false" ht="15.75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0"/>
    </row>
    <row r="728" customFormat="false" ht="15.75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0"/>
    </row>
    <row r="729" customFormat="false" ht="15.75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0"/>
    </row>
    <row r="730" customFormat="false" ht="15.75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0"/>
    </row>
    <row r="731" customFormat="false" ht="15.75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0"/>
    </row>
    <row r="732" customFormat="false" ht="15.75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0"/>
    </row>
    <row r="733" customFormat="false" ht="15.75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0"/>
    </row>
    <row r="734" customFormat="false" ht="15.75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0"/>
    </row>
    <row r="735" customFormat="false" ht="15.75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0"/>
    </row>
    <row r="736" customFormat="false" ht="15.75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0"/>
    </row>
    <row r="737" customFormat="false" ht="15.75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0"/>
    </row>
    <row r="738" customFormat="false" ht="15.75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0"/>
    </row>
    <row r="739" customFormat="false" ht="15.75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0"/>
    </row>
    <row r="740" customFormat="false" ht="15.75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0"/>
    </row>
    <row r="741" customFormat="false" ht="15.75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0"/>
    </row>
    <row r="742" customFormat="false" ht="15.75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0"/>
    </row>
    <row r="743" customFormat="false" ht="15.75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0"/>
    </row>
    <row r="744" customFormat="false" ht="15.75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0"/>
    </row>
    <row r="745" customFormat="false" ht="15.75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0"/>
    </row>
    <row r="746" customFormat="false" ht="15.75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0"/>
    </row>
    <row r="747" customFormat="false" ht="15.75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0"/>
    </row>
    <row r="748" customFormat="false" ht="15.75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0"/>
    </row>
    <row r="749" customFormat="false" ht="15.75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0"/>
    </row>
    <row r="750" customFormat="false" ht="15.75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0"/>
    </row>
    <row r="751" customFormat="false" ht="15.75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0"/>
    </row>
    <row r="752" customFormat="false" ht="15.75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0"/>
    </row>
    <row r="753" customFormat="false" ht="15.75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0"/>
    </row>
    <row r="754" customFormat="false" ht="15.75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0"/>
    </row>
    <row r="755" customFormat="false" ht="15.75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0"/>
    </row>
    <row r="756" customFormat="false" ht="15.75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0"/>
    </row>
    <row r="757" customFormat="false" ht="15.75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0"/>
    </row>
    <row r="758" customFormat="false" ht="15.75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0"/>
    </row>
    <row r="759" customFormat="false" ht="15.75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0"/>
    </row>
    <row r="760" customFormat="false" ht="15.75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0"/>
    </row>
    <row r="761" customFormat="false" ht="15.75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0"/>
    </row>
    <row r="762" customFormat="false" ht="15.75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0"/>
    </row>
    <row r="763" customFormat="false" ht="15.75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0"/>
    </row>
    <row r="764" customFormat="false" ht="15.75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0"/>
    </row>
    <row r="765" customFormat="false" ht="15.75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0"/>
    </row>
    <row r="766" customFormat="false" ht="15.75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0"/>
    </row>
    <row r="767" customFormat="false" ht="15.75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0"/>
    </row>
    <row r="768" customFormat="false" ht="15.75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0"/>
    </row>
    <row r="769" customFormat="false" ht="15.75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0"/>
    </row>
    <row r="770" customFormat="false" ht="15.75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0"/>
    </row>
    <row r="771" customFormat="false" ht="15.75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0"/>
    </row>
    <row r="772" customFormat="false" ht="15.75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0"/>
    </row>
    <row r="773" customFormat="false" ht="15.75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0"/>
    </row>
    <row r="774" customFormat="false" ht="15.75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0"/>
    </row>
    <row r="775" customFormat="false" ht="15.75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0"/>
    </row>
    <row r="776" customFormat="false" ht="15.75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0"/>
    </row>
    <row r="777" customFormat="false" ht="15.75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0"/>
    </row>
    <row r="778" customFormat="false" ht="15.75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0"/>
    </row>
    <row r="779" customFormat="false" ht="15.75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0"/>
    </row>
    <row r="780" customFormat="false" ht="15.75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0"/>
    </row>
    <row r="781" customFormat="false" ht="15.75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0"/>
    </row>
    <row r="782" customFormat="false" ht="15.75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0"/>
    </row>
    <row r="783" customFormat="false" ht="15.75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0"/>
    </row>
    <row r="784" customFormat="false" ht="15.75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0"/>
    </row>
    <row r="785" customFormat="false" ht="15.75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0"/>
    </row>
    <row r="786" customFormat="false" ht="15.75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0"/>
    </row>
    <row r="787" customFormat="false" ht="15.75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0"/>
    </row>
    <row r="788" customFormat="false" ht="15.75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0"/>
    </row>
    <row r="789" customFormat="false" ht="15.75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0"/>
    </row>
    <row r="790" customFormat="false" ht="15.75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0"/>
    </row>
    <row r="791" customFormat="false" ht="15.75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0"/>
    </row>
    <row r="792" customFormat="false" ht="15.75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0"/>
    </row>
    <row r="793" customFormat="false" ht="15.75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0"/>
    </row>
    <row r="794" customFormat="false" ht="15.75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0"/>
    </row>
    <row r="795" customFormat="false" ht="15.75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0"/>
    </row>
    <row r="796" customFormat="false" ht="15.75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0"/>
    </row>
    <row r="797" customFormat="false" ht="15.75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0"/>
    </row>
    <row r="798" customFormat="false" ht="15.75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0"/>
    </row>
    <row r="799" customFormat="false" ht="15.75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0"/>
    </row>
    <row r="800" customFormat="false" ht="15.75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0"/>
    </row>
    <row r="801" customFormat="false" ht="15.75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0"/>
    </row>
    <row r="802" customFormat="false" ht="15.75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0"/>
    </row>
    <row r="803" customFormat="false" ht="15.75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0"/>
    </row>
    <row r="804" customFormat="false" ht="15.75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0"/>
    </row>
    <row r="805" customFormat="false" ht="15.75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0"/>
    </row>
    <row r="806" customFormat="false" ht="15.75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0"/>
    </row>
    <row r="807" customFormat="false" ht="15.75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0"/>
    </row>
    <row r="808" customFormat="false" ht="15.75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0"/>
    </row>
    <row r="809" customFormat="false" ht="15.75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0"/>
    </row>
    <row r="810" customFormat="false" ht="15.75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0"/>
    </row>
    <row r="811" customFormat="false" ht="15.75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0"/>
    </row>
    <row r="812" customFormat="false" ht="15.75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0"/>
    </row>
    <row r="813" customFormat="false" ht="15.75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0"/>
    </row>
    <row r="814" customFormat="false" ht="15.75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0"/>
    </row>
    <row r="815" customFormat="false" ht="15.75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0"/>
    </row>
    <row r="816" customFormat="false" ht="15.75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0"/>
    </row>
    <row r="817" customFormat="false" ht="15.75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0"/>
    </row>
    <row r="818" customFormat="false" ht="15.75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0"/>
    </row>
    <row r="819" customFormat="false" ht="15.75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0"/>
    </row>
    <row r="820" customFormat="false" ht="15.75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0"/>
    </row>
    <row r="821" customFormat="false" ht="15.75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0"/>
    </row>
    <row r="822" customFormat="false" ht="15.75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0"/>
    </row>
    <row r="823" customFormat="false" ht="15.75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0"/>
    </row>
    <row r="824" customFormat="false" ht="15.75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0"/>
    </row>
    <row r="825" customFormat="false" ht="15.75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0"/>
    </row>
    <row r="826" customFormat="false" ht="15.75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0"/>
    </row>
    <row r="827" customFormat="false" ht="15.75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0"/>
    </row>
    <row r="828" customFormat="false" ht="15.75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0"/>
    </row>
    <row r="829" customFormat="false" ht="15.75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0"/>
    </row>
    <row r="830" customFormat="false" ht="15.75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0"/>
    </row>
    <row r="831" customFormat="false" ht="15.75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0"/>
    </row>
    <row r="832" customFormat="false" ht="15.75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0"/>
    </row>
    <row r="833" customFormat="false" ht="15.75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0"/>
    </row>
    <row r="834" customFormat="false" ht="15.75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0"/>
    </row>
    <row r="835" customFormat="false" ht="15.75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0"/>
    </row>
    <row r="836" customFormat="false" ht="15.75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0"/>
    </row>
    <row r="837" customFormat="false" ht="15.75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0"/>
    </row>
    <row r="838" customFormat="false" ht="15.75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0"/>
    </row>
    <row r="839" customFormat="false" ht="15.75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0"/>
    </row>
    <row r="840" customFormat="false" ht="15.75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0"/>
    </row>
    <row r="841" customFormat="false" ht="15.75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0"/>
    </row>
    <row r="842" customFormat="false" ht="15.75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0"/>
    </row>
    <row r="843" customFormat="false" ht="15.75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0"/>
    </row>
    <row r="844" customFormat="false" ht="15.75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0"/>
    </row>
    <row r="845" customFormat="false" ht="15.75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0"/>
    </row>
    <row r="846" customFormat="false" ht="15.75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0"/>
    </row>
    <row r="847" customFormat="false" ht="15.75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0"/>
    </row>
    <row r="848" customFormat="false" ht="15.75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0"/>
    </row>
    <row r="849" customFormat="false" ht="15.75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0"/>
    </row>
    <row r="850" customFormat="false" ht="15.75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0"/>
    </row>
    <row r="851" customFormat="false" ht="15.75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0"/>
    </row>
    <row r="852" customFormat="false" ht="15.75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0"/>
    </row>
    <row r="853" customFormat="false" ht="15.75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0"/>
    </row>
    <row r="854" customFormat="false" ht="15.75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0"/>
    </row>
    <row r="855" customFormat="false" ht="15.75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0"/>
    </row>
    <row r="856" customFormat="false" ht="15.75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0"/>
    </row>
    <row r="857" customFormat="false" ht="15.75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0"/>
    </row>
    <row r="858" customFormat="false" ht="15.75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0"/>
    </row>
    <row r="859" customFormat="false" ht="15.75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0"/>
    </row>
    <row r="860" customFormat="false" ht="15.75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0"/>
    </row>
    <row r="861" customFormat="false" ht="15.75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0"/>
    </row>
    <row r="862" customFormat="false" ht="15.75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0"/>
    </row>
    <row r="863" customFormat="false" ht="15.75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0"/>
    </row>
    <row r="864" customFormat="false" ht="15.75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0"/>
    </row>
    <row r="865" customFormat="false" ht="15.75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0"/>
    </row>
    <row r="866" customFormat="false" ht="15.75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0"/>
    </row>
    <row r="867" customFormat="false" ht="15.75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0"/>
    </row>
    <row r="868" customFormat="false" ht="15.75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0"/>
    </row>
    <row r="869" customFormat="false" ht="15.75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0"/>
    </row>
    <row r="870" customFormat="false" ht="15.75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0"/>
    </row>
    <row r="871" customFormat="false" ht="15.75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0"/>
    </row>
    <row r="872" customFormat="false" ht="15.75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0"/>
    </row>
    <row r="873" customFormat="false" ht="15.75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0"/>
    </row>
    <row r="874" customFormat="false" ht="15.75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0"/>
    </row>
    <row r="875" customFormat="false" ht="15.75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0"/>
    </row>
    <row r="876" customFormat="false" ht="15.75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0"/>
    </row>
    <row r="877" customFormat="false" ht="15.75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0"/>
    </row>
    <row r="878" customFormat="false" ht="15.75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0"/>
    </row>
    <row r="879" customFormat="false" ht="15.75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0"/>
    </row>
    <row r="880" customFormat="false" ht="15.75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0"/>
    </row>
    <row r="881" customFormat="false" ht="15.75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0"/>
    </row>
    <row r="882" customFormat="false" ht="15.75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0"/>
    </row>
    <row r="883" customFormat="false" ht="15.75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0"/>
    </row>
    <row r="884" customFormat="false" ht="15.75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0"/>
    </row>
    <row r="885" customFormat="false" ht="15.75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0"/>
    </row>
    <row r="886" customFormat="false" ht="15.75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0"/>
    </row>
    <row r="887" customFormat="false" ht="15.75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0"/>
    </row>
    <row r="888" customFormat="false" ht="15.75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0"/>
    </row>
    <row r="889" customFormat="false" ht="15.75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0"/>
    </row>
    <row r="890" customFormat="false" ht="15.75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0"/>
    </row>
    <row r="891" customFormat="false" ht="15.75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0"/>
    </row>
    <row r="892" customFormat="false" ht="15.75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0"/>
    </row>
    <row r="893" customFormat="false" ht="15.75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0"/>
    </row>
    <row r="894" customFormat="false" ht="15.75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0"/>
    </row>
    <row r="895" customFormat="false" ht="15.75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0"/>
    </row>
    <row r="896" customFormat="false" ht="15.75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0"/>
    </row>
    <row r="897" customFormat="false" ht="15.75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0"/>
    </row>
    <row r="898" customFormat="false" ht="15.75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0"/>
    </row>
    <row r="899" customFormat="false" ht="15.75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0"/>
    </row>
    <row r="900" customFormat="false" ht="15.75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0"/>
    </row>
    <row r="901" customFormat="false" ht="15.75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0"/>
    </row>
    <row r="902" customFormat="false" ht="15.75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0"/>
    </row>
    <row r="903" customFormat="false" ht="15.75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0"/>
    </row>
    <row r="904" customFormat="false" ht="15.75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0"/>
    </row>
    <row r="905" customFormat="false" ht="15.75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0"/>
    </row>
    <row r="906" customFormat="false" ht="15.75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0"/>
    </row>
    <row r="907" customFormat="false" ht="15.75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0"/>
    </row>
    <row r="908" customFormat="false" ht="15.75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0"/>
    </row>
    <row r="909" customFormat="false" ht="15.75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0"/>
    </row>
    <row r="910" customFormat="false" ht="15.75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0"/>
    </row>
    <row r="911" customFormat="false" ht="15.75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0"/>
    </row>
    <row r="912" customFormat="false" ht="15.75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0"/>
    </row>
    <row r="913" customFormat="false" ht="15.75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0"/>
    </row>
    <row r="914" customFormat="false" ht="15.75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0"/>
    </row>
    <row r="915" customFormat="false" ht="15.75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0"/>
    </row>
    <row r="916" customFormat="false" ht="15.75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0"/>
    </row>
    <row r="917" customFormat="false" ht="15.75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0"/>
    </row>
    <row r="918" customFormat="false" ht="15.75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0"/>
    </row>
    <row r="919" customFormat="false" ht="15.75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0"/>
    </row>
    <row r="920" customFormat="false" ht="15.75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0"/>
    </row>
    <row r="921" customFormat="false" ht="15.75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0"/>
    </row>
    <row r="922" customFormat="false" ht="15.75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0"/>
    </row>
    <row r="923" customFormat="false" ht="15.75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0"/>
    </row>
    <row r="924" customFormat="false" ht="15.75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0"/>
    </row>
    <row r="925" customFormat="false" ht="15.75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0"/>
    </row>
    <row r="926" customFormat="false" ht="15.75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0"/>
    </row>
    <row r="927" customFormat="false" ht="15.75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0"/>
    </row>
    <row r="928" customFormat="false" ht="15.75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0"/>
    </row>
    <row r="929" customFormat="false" ht="15.75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0"/>
    </row>
    <row r="930" customFormat="false" ht="15.75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0"/>
    </row>
    <row r="931" customFormat="false" ht="15.75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0"/>
    </row>
    <row r="932" customFormat="false" ht="15.75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0"/>
    </row>
    <row r="933" customFormat="false" ht="15.75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0"/>
    </row>
    <row r="934" customFormat="false" ht="15.75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0"/>
    </row>
    <row r="935" customFormat="false" ht="15.75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0"/>
    </row>
    <row r="936" customFormat="false" ht="15.75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0"/>
    </row>
    <row r="937" customFormat="false" ht="15.75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0"/>
    </row>
    <row r="938" customFormat="false" ht="15.75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0"/>
    </row>
    <row r="939" customFormat="false" ht="15.75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0"/>
    </row>
    <row r="940" customFormat="false" ht="15.75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0"/>
    </row>
    <row r="941" customFormat="false" ht="15.75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0"/>
    </row>
    <row r="942" customFormat="false" ht="15.75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0"/>
    </row>
    <row r="943" customFormat="false" ht="15.75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0"/>
    </row>
    <row r="944" customFormat="false" ht="15.75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0"/>
    </row>
    <row r="945" customFormat="false" ht="15.75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0"/>
    </row>
    <row r="946" customFormat="false" ht="15.75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0"/>
    </row>
    <row r="947" customFormat="false" ht="15.75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0"/>
    </row>
    <row r="948" customFormat="false" ht="15.75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0"/>
    </row>
    <row r="949" customFormat="false" ht="15.75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0"/>
    </row>
    <row r="950" customFormat="false" ht="15.75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0"/>
    </row>
  </sheetData>
  <mergeCells count="1">
    <mergeCell ref="P1:Q1"/>
  </mergeCells>
  <dataValidations count="3">
    <dataValidation allowBlank="true" errorStyle="stop" operator="between" showDropDown="false" showErrorMessage="false" showInputMessage="false" sqref="E2:E101" type="list">
      <formula1>"CSM,CB,CB,CSC,CSM,CSC,CSC,CSM,CB,CSC,CSC,DD,AA,CB,CSC,CSM "</formula1>
      <formula2>0</formula2>
    </dataValidation>
    <dataValidation allowBlank="true" errorStyle="stop" operator="between" showDropDown="true" showErrorMessage="true" showInputMessage="false" sqref="F2:F101" type="list">
      <formula1>"TD,TN"</formula1>
      <formula2>0</formula2>
    </dataValidation>
    <dataValidation allowBlank="true" errorStyle="stop" operator="between" showDropDown="true" showErrorMessage="false" showInputMessage="false" sqref="G2:G101 I2:L101" type="custom">
      <formula1>AND(ISNUMBER(G2),(NOT(OR(NOT(ISERROR(DATEVALUE(G2))), AND(ISNUMBER(G2), LEFT(CELL("format", G2))="D")))))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GI63:GI64 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"/>
    <col collapsed="false" customWidth="true" hidden="false" outlineLevel="0" max="3" min="3" style="0" width="9.13"/>
    <col collapsed="false" customWidth="true" hidden="false" outlineLevel="0" max="4" min="4" style="0" width="5.13"/>
    <col collapsed="false" customWidth="true" hidden="false" outlineLevel="0" max="5" min="5" style="0" width="6.63"/>
    <col collapsed="false" customWidth="true" hidden="false" outlineLevel="0" max="6" min="6" style="0" width="5"/>
    <col collapsed="false" customWidth="true" hidden="false" outlineLevel="0" max="7" min="7" style="0" width="9.13"/>
    <col collapsed="false" customWidth="true" hidden="false" outlineLevel="0" max="8" min="8" style="0" width="5.13"/>
    <col collapsed="false" customWidth="true" hidden="false" outlineLevel="0" max="9" min="9" style="0" width="5"/>
    <col collapsed="false" customWidth="true" hidden="false" outlineLevel="0" max="10" min="10" style="0" width="9.13"/>
    <col collapsed="false" customWidth="true" hidden="false" outlineLevel="0" max="11" min="11" style="0" width="7.63"/>
    <col collapsed="false" customWidth="true" hidden="false" outlineLevel="0" max="12" min="12" style="0" width="5"/>
    <col collapsed="false" customWidth="true" hidden="false" outlineLevel="0" max="13" min="13" style="0" width="8"/>
    <col collapsed="false" customWidth="true" hidden="false" outlineLevel="0" max="14" min="14" style="0" width="5.13"/>
  </cols>
  <sheetData>
    <row r="1" customFormat="false" ht="15.75" hidden="false" customHeight="false" outlineLevel="0" collapsed="false">
      <c r="A1" s="9" t="s">
        <v>53</v>
      </c>
      <c r="B1" s="4" t="s">
        <v>2307</v>
      </c>
      <c r="C1" s="4"/>
      <c r="D1" s="4"/>
      <c r="E1" s="4" t="s">
        <v>2308</v>
      </c>
      <c r="F1" s="4" t="s">
        <v>2309</v>
      </c>
      <c r="G1" s="4"/>
      <c r="H1" s="4"/>
      <c r="I1" s="4" t="s">
        <v>2310</v>
      </c>
      <c r="J1" s="4"/>
      <c r="K1" s="4"/>
      <c r="L1" s="4" t="s">
        <v>2311</v>
      </c>
      <c r="M1" s="4"/>
      <c r="N1" s="4"/>
    </row>
    <row r="2" customFormat="false" ht="15.75" hidden="false" customHeight="false" outlineLevel="0" collapsed="false">
      <c r="A2" s="9"/>
      <c r="B2" s="4" t="s">
        <v>2312</v>
      </c>
      <c r="C2" s="4" t="s">
        <v>2313</v>
      </c>
      <c r="D2" s="4" t="s">
        <v>2314</v>
      </c>
      <c r="E2" s="4" t="s">
        <v>2314</v>
      </c>
      <c r="F2" s="4" t="s">
        <v>2312</v>
      </c>
      <c r="G2" s="4" t="s">
        <v>2313</v>
      </c>
      <c r="H2" s="4" t="s">
        <v>2314</v>
      </c>
      <c r="I2" s="4" t="s">
        <v>2312</v>
      </c>
      <c r="J2" s="4" t="s">
        <v>2313</v>
      </c>
      <c r="K2" s="4" t="s">
        <v>2314</v>
      </c>
      <c r="L2" s="4" t="s">
        <v>2312</v>
      </c>
      <c r="M2" s="4" t="s">
        <v>2313</v>
      </c>
      <c r="N2" s="4" t="s">
        <v>2314</v>
      </c>
    </row>
    <row r="3" customFormat="false" ht="15.75" hidden="false" customHeight="false" outlineLevel="0" collapsed="false">
      <c r="A3" s="9" t="s">
        <v>2315</v>
      </c>
      <c r="B3" s="4" t="s">
        <v>72</v>
      </c>
      <c r="C3" s="9" t="n">
        <f aca="false">COUNTIFS(Docentes!F:F,"TD",Docentes!E:E,"CB",Docentes!J:J,"&gt;0")</f>
        <v>0</v>
      </c>
      <c r="D3" s="9" t="n">
        <f aca="false">COUNTIFS(Docentes!F:F,"TD",Docentes!J:J,"&gt;0")</f>
        <v>0</v>
      </c>
      <c r="E3" s="9" t="n">
        <f aca="false">COUNTIFS(Docentes!F:F,"TD",Docentes!J:J,"=0")</f>
        <v>0</v>
      </c>
      <c r="F3" s="4" t="s">
        <v>72</v>
      </c>
      <c r="G3" s="9" t="n">
        <f aca="false">COUNTIFS('Respuesta del Formulario'!X:X,"TD",'Respuesta del Formulario'!Y:Y,"CB")</f>
        <v>144</v>
      </c>
      <c r="H3" s="9" t="n">
        <f aca="false">COUNTIFS('Respuesta del Formulario'!X:X,"TD")</f>
        <v>199</v>
      </c>
      <c r="I3" s="4" t="s">
        <v>72</v>
      </c>
      <c r="J3" s="4" t="n">
        <f aca="false">SUMIFS(Docentes!J:J,Docentes!F:F,"TD",Docentes!E:E,"CB")</f>
        <v>0</v>
      </c>
      <c r="K3" s="9" t="n">
        <f aca="false">SUMIF(Docentes!F:F,"TD",Docentes!J:J)</f>
        <v>0</v>
      </c>
      <c r="L3" s="4" t="s">
        <v>72</v>
      </c>
      <c r="M3" s="44" t="e">
        <f aca="false">(1-((J3-G3)/J3))*100</f>
        <v>#DIV/0!</v>
      </c>
      <c r="N3" s="45" t="e">
        <f aca="false">(1-((K3-H3)/K3))*100</f>
        <v>#DIV/0!</v>
      </c>
    </row>
    <row r="4" customFormat="false" ht="15.75" hidden="false" customHeight="false" outlineLevel="0" collapsed="false">
      <c r="A4" s="9"/>
      <c r="B4" s="4" t="s">
        <v>90</v>
      </c>
      <c r="C4" s="9" t="n">
        <f aca="false">COUNTIFS(Docentes!F:F,"TD",Docentes!E:E,"CSC",Docentes!J:J,"&gt;0")</f>
        <v>0</v>
      </c>
      <c r="D4" s="9"/>
      <c r="E4" s="9"/>
      <c r="F4" s="4" t="s">
        <v>90</v>
      </c>
      <c r="G4" s="9" t="n">
        <f aca="false">COUNTIFS('Respuesta del Formulario'!X:X,"TD",'Respuesta del Formulario'!Y:Y,"CSC")</f>
        <v>32</v>
      </c>
      <c r="H4" s="9"/>
      <c r="I4" s="4" t="s">
        <v>90</v>
      </c>
      <c r="J4" s="4" t="n">
        <f aca="false">SUMIFS(Docentes!J:J,Docentes!F:F,"TD",Docentes!E:E,"CSC")</f>
        <v>0</v>
      </c>
      <c r="K4" s="9"/>
      <c r="L4" s="4" t="s">
        <v>90</v>
      </c>
      <c r="M4" s="44" t="e">
        <f aca="false">(1-((J4-G4)/J4))*100</f>
        <v>#DIV/0!</v>
      </c>
      <c r="N4" s="45"/>
    </row>
    <row r="5" customFormat="false" ht="15.75" hidden="false" customHeight="false" outlineLevel="0" collapsed="false">
      <c r="A5" s="9"/>
      <c r="B5" s="4" t="s">
        <v>132</v>
      </c>
      <c r="C5" s="9" t="n">
        <f aca="false">COUNTIFS(Docentes!F:F,"TD",Docentes!E:E,"CSM",Docentes!J:J,"&gt;0")</f>
        <v>0</v>
      </c>
      <c r="D5" s="9"/>
      <c r="E5" s="9"/>
      <c r="F5" s="4" t="s">
        <v>132</v>
      </c>
      <c r="G5" s="9" t="n">
        <f aca="false">COUNTIFS('Respuesta del Formulario'!X:X,"TD",'Respuesta del Formulario'!Y:Y,"CSM")</f>
        <v>23</v>
      </c>
      <c r="H5" s="9"/>
      <c r="I5" s="4" t="s">
        <v>132</v>
      </c>
      <c r="J5" s="4" t="n">
        <f aca="false">SUMIFS(Docentes!J:J,Docentes!F:F,"TD",Docentes!E:E,"CSM")</f>
        <v>0</v>
      </c>
      <c r="K5" s="9"/>
      <c r="L5" s="4" t="s">
        <v>132</v>
      </c>
      <c r="M5" s="44" t="e">
        <f aca="false">(1-((J5-G5)/J5))*100</f>
        <v>#DIV/0!</v>
      </c>
      <c r="N5" s="45"/>
    </row>
    <row r="6" customFormat="false" ht="15.75" hidden="false" customHeight="false" outlineLevel="0" collapsed="false">
      <c r="A6" s="9"/>
      <c r="B6" s="4" t="s">
        <v>2316</v>
      </c>
      <c r="C6" s="9" t="n">
        <f aca="false">COUNTIFS(Docentes!F:F,"TD",Docentes!E:E,"CB,CSC",Docentes!J:J,"&gt;0")
+COUNTIFS(Docentes!F:F,"TD",Docentes!E:E,"CB,CSM",Docentes!J:J,"&gt;0")
+COUNTIFS(Docentes!F:F,"TD",Docentes!E:E,"CSC,CSM",Docentes!J:J,"&gt;0")</f>
        <v>0</v>
      </c>
      <c r="D6" s="9"/>
      <c r="E6" s="9"/>
      <c r="F6" s="46"/>
      <c r="G6" s="46"/>
      <c r="H6" s="47"/>
      <c r="I6" s="4" t="s">
        <v>2316</v>
      </c>
      <c r="J6" s="4" t="n">
        <f aca="false">SUMIFS(Docentes!J:J,Docentes!F:F,"TD",Docentes!E:E,"CB,CSC")+SUMIFS(Docentes!J:J,Docentes!F:F,"TD",Docentes!E:E,"CB,CSM")+SUMIFS(Docentes!J:J,Docentes!F:F,"TD",Docentes!E:E,"CSC,CSM")+SUMIFS(Docentes!J:J,Docentes!F:F,"TD",Docentes!E:E,"CB,CSC,CSM")</f>
        <v>0</v>
      </c>
      <c r="K6" s="9"/>
      <c r="L6" s="46"/>
      <c r="M6" s="48"/>
      <c r="N6" s="49"/>
    </row>
    <row r="7" customFormat="false" ht="15.75" hidden="false" customHeight="false" outlineLevel="0" collapsed="false">
      <c r="A7" s="9" t="s">
        <v>2317</v>
      </c>
      <c r="B7" s="4" t="s">
        <v>72</v>
      </c>
      <c r="C7" s="9" t="n">
        <f aca="false">COUNTIFS(Docentes!F:F,"TN",Docentes!E:E,"CB",Docentes!J:J,"&gt;0")</f>
        <v>0</v>
      </c>
      <c r="D7" s="9" t="n">
        <f aca="false">COUNTIFS(Docentes!F:F,"TN",Docentes!J:J,"&gt;0")</f>
        <v>0</v>
      </c>
      <c r="E7" s="9" t="n">
        <f aca="false">COUNTIFS(Docentes!F:F,"TN",Docentes!J:J,"=0")</f>
        <v>0</v>
      </c>
      <c r="F7" s="4" t="s">
        <v>72</v>
      </c>
      <c r="G7" s="9" t="n">
        <f aca="false">COUNTIFS('Respuesta del Formulario'!X:X,"TN",'Respuesta del Formulario'!Y:Y,"CB")</f>
        <v>17</v>
      </c>
      <c r="H7" s="9" t="n">
        <f aca="false">COUNTIFS('Respuesta del Formulario'!X:X,"TN")</f>
        <v>24</v>
      </c>
      <c r="I7" s="4" t="s">
        <v>72</v>
      </c>
      <c r="J7" s="4" t="n">
        <f aca="false">SUMIFS(Docentes!J:J,Docentes!F:F,"TN",Docentes!E:E,"CB")</f>
        <v>0</v>
      </c>
      <c r="K7" s="9" t="n">
        <f aca="false">SUMIF(Docentes!F:F,"TN",Docentes!J:J)</f>
        <v>0</v>
      </c>
      <c r="L7" s="4" t="s">
        <v>72</v>
      </c>
      <c r="M7" s="44" t="e">
        <f aca="false">(1-((J7-G7)/J7))*100</f>
        <v>#DIV/0!</v>
      </c>
      <c r="N7" s="45" t="e">
        <f aca="false">(1-((K7-H7)/K7))*100</f>
        <v>#DIV/0!</v>
      </c>
    </row>
    <row r="8" customFormat="false" ht="15.75" hidden="false" customHeight="false" outlineLevel="0" collapsed="false">
      <c r="A8" s="9"/>
      <c r="B8" s="4" t="s">
        <v>90</v>
      </c>
      <c r="C8" s="9" t="n">
        <f aca="false">COUNTIFS(Docentes!F:F,"TN",Docentes!E:E,"CSC",Docentes!J:J,"&gt;0")</f>
        <v>0</v>
      </c>
      <c r="D8" s="9"/>
      <c r="E8" s="9"/>
      <c r="F8" s="4" t="s">
        <v>90</v>
      </c>
      <c r="G8" s="9" t="n">
        <f aca="false">COUNTIFS('Respuesta del Formulario'!X:X,"TN",'Respuesta del Formulario'!Y:Y,"CSC")</f>
        <v>4</v>
      </c>
      <c r="H8" s="9"/>
      <c r="I8" s="4" t="s">
        <v>90</v>
      </c>
      <c r="J8" s="4" t="n">
        <f aca="false">SUMIFS(Docentes!J:J,Docentes!F:F,"TN",Docentes!E:E,"CSC")</f>
        <v>0</v>
      </c>
      <c r="K8" s="9"/>
      <c r="L8" s="4" t="s">
        <v>90</v>
      </c>
      <c r="M8" s="44" t="e">
        <f aca="false">(1-((J8-G8)/J8))*100</f>
        <v>#DIV/0!</v>
      </c>
      <c r="N8" s="45"/>
    </row>
    <row r="9" customFormat="false" ht="15.75" hidden="false" customHeight="false" outlineLevel="0" collapsed="false">
      <c r="A9" s="9"/>
      <c r="B9" s="4" t="s">
        <v>132</v>
      </c>
      <c r="C9" s="9" t="n">
        <f aca="false">COUNTIFS(Docentes!F:F,"TN",Docentes!E:E,"CSM",Docentes!J:J,"&gt;0")</f>
        <v>0</v>
      </c>
      <c r="D9" s="9"/>
      <c r="E9" s="9"/>
      <c r="F9" s="4" t="s">
        <v>132</v>
      </c>
      <c r="G9" s="9" t="n">
        <f aca="false">COUNTIFS('Respuesta del Formulario'!X:X,"TN",'Respuesta del Formulario'!Y:Y,"CSM")</f>
        <v>3</v>
      </c>
      <c r="H9" s="9"/>
      <c r="I9" s="4" t="s">
        <v>132</v>
      </c>
      <c r="J9" s="4" t="n">
        <f aca="false">SUMIFS(Docentes!J:J,Docentes!F:F,"TN",Docentes!E:E,"CSM")</f>
        <v>0</v>
      </c>
      <c r="K9" s="9"/>
      <c r="L9" s="4" t="s">
        <v>132</v>
      </c>
      <c r="M9" s="44" t="e">
        <f aca="false">(1-((J9-G9)/J9))*100</f>
        <v>#DIV/0!</v>
      </c>
      <c r="N9" s="45"/>
    </row>
    <row r="10" customFormat="false" ht="15.75" hidden="false" customHeight="false" outlineLevel="0" collapsed="false">
      <c r="A10" s="9"/>
      <c r="B10" s="4" t="s">
        <v>2316</v>
      </c>
      <c r="C10" s="9" t="n">
        <f aca="false">COUNTIFS(Docentes!F:F,"TN",Docentes!E:E,"CB,CSC",Docentes!J:J,"&gt;0")
+COUNTIFS(Docentes!F:F,"TD",Docentes!E:E,"CB,CSM",Docentes!J:J,"&gt;0")
+COUNTIFS(Docentes!F:F,"TD",Docentes!E:E,"CSC,CSM",Docentes!J:J,"&gt;0")</f>
        <v>0</v>
      </c>
      <c r="D10" s="9"/>
      <c r="E10" s="9"/>
      <c r="F10" s="50"/>
      <c r="G10" s="50"/>
      <c r="H10" s="50"/>
      <c r="I10" s="4" t="s">
        <v>2316</v>
      </c>
      <c r="J10" s="4" t="n">
        <f aca="false">SUMIFS(Docentes!J:J,Docentes!F:F,"TN",Docentes!E:E,"CB,CSC")+SUMIFS(Docentes!J:J,Docentes!F:F,"TN",Docentes!E:E,"CB,CSM")+SUMIFS(Docentes!J:J,Docentes!F:F,"TN",Docentes!E:E,"CSC,CSM")+SUMIFS(Docentes!J:J,Docentes!F:F,"TN",Docentes!E:E,"CB,CSC,CSM")</f>
        <v>0</v>
      </c>
      <c r="K10" s="9"/>
      <c r="L10" s="50"/>
      <c r="M10" s="50"/>
      <c r="N10" s="50"/>
    </row>
  </sheetData>
  <mergeCells count="17">
    <mergeCell ref="A1:A2"/>
    <mergeCell ref="B1:D1"/>
    <mergeCell ref="F1:H1"/>
    <mergeCell ref="I1:K1"/>
    <mergeCell ref="L1:N1"/>
    <mergeCell ref="A3:A6"/>
    <mergeCell ref="D3:D6"/>
    <mergeCell ref="E3:E6"/>
    <mergeCell ref="H3:H5"/>
    <mergeCell ref="K3:K6"/>
    <mergeCell ref="N3:N5"/>
    <mergeCell ref="A7:A10"/>
    <mergeCell ref="D7:D10"/>
    <mergeCell ref="E7:E10"/>
    <mergeCell ref="H7:H9"/>
    <mergeCell ref="K7:K10"/>
    <mergeCell ref="N7:N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B921"/>
  <sheetViews>
    <sheetView showFormulas="false" showGridLines="true" showRowColHeaders="true" showZeros="true" rightToLeft="false" tabSelected="false" showOutlineSymbols="true" defaultGridColor="true" view="normal" topLeftCell="GW65" colorId="64" zoomScale="100" zoomScaleNormal="100" zoomScalePageLayoutView="100" workbookViewId="0">
      <selection pane="topLeft" activeCell="A2" activeCellId="1" sqref="GI63:GI64 A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6.88"/>
    <col collapsed="false" customWidth="true" hidden="false" outlineLevel="0" max="2" min="2" style="0" width="22.25"/>
  </cols>
  <sheetData>
    <row r="1" customFormat="false" ht="15.75" hidden="false" customHeight="false" outlineLevel="0" collapsed="false">
      <c r="A1" s="51" t="s">
        <v>30</v>
      </c>
      <c r="B1" s="51" t="s">
        <v>31</v>
      </c>
      <c r="C1" s="51" t="s">
        <v>32</v>
      </c>
      <c r="D1" s="51" t="s">
        <v>33</v>
      </c>
      <c r="E1" s="51" t="s">
        <v>34</v>
      </c>
      <c r="F1" s="51" t="s">
        <v>35</v>
      </c>
      <c r="G1" s="51" t="s">
        <v>36</v>
      </c>
      <c r="H1" s="51" t="s">
        <v>37</v>
      </c>
      <c r="I1" s="51" t="s">
        <v>38</v>
      </c>
      <c r="J1" s="51" t="s">
        <v>39</v>
      </c>
      <c r="K1" s="51" t="s">
        <v>40</v>
      </c>
      <c r="L1" s="51" t="s">
        <v>41</v>
      </c>
      <c r="M1" s="51" t="s">
        <v>42</v>
      </c>
      <c r="N1" s="51" t="s">
        <v>43</v>
      </c>
      <c r="O1" s="51" t="s">
        <v>44</v>
      </c>
      <c r="P1" s="51" t="s">
        <v>45</v>
      </c>
      <c r="Q1" s="51" t="s">
        <v>46</v>
      </c>
      <c r="R1" s="51" t="s">
        <v>47</v>
      </c>
      <c r="S1" s="51" t="s">
        <v>48</v>
      </c>
      <c r="T1" s="51" t="s">
        <v>49</v>
      </c>
      <c r="U1" s="51" t="s">
        <v>50</v>
      </c>
      <c r="V1" s="51" t="s">
        <v>51</v>
      </c>
      <c r="W1" s="51" t="s">
        <v>52</v>
      </c>
      <c r="X1" s="51" t="s">
        <v>53</v>
      </c>
      <c r="Y1" s="51" t="s">
        <v>54</v>
      </c>
      <c r="Z1" s="10"/>
      <c r="AA1" s="10"/>
      <c r="AB1" s="10"/>
    </row>
    <row r="2" customFormat="false" ht="15.75" hidden="false" customHeight="false" outlineLevel="0" collapsed="false">
      <c r="A2" s="11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customFormat="false" ht="15.75" hidden="false" customHeight="false" outlineLevel="0" collapsed="false">
      <c r="A3" s="11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customFormat="false" ht="15.75" hidden="false" customHeight="false" outlineLevel="0" collapsed="false">
      <c r="A4" s="11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customFormat="false" ht="15.75" hidden="false" customHeight="false" outlineLevel="0" collapsed="false">
      <c r="A5" s="11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customFormat="false" ht="15.75" hidden="false" customHeight="false" outlineLevel="0" collapsed="false">
      <c r="A6" s="11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customFormat="false" ht="15.75" hidden="false" customHeight="false" outlineLevel="0" collapsed="false">
      <c r="A7" s="11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customFormat="false" ht="15.75" hidden="false" customHeight="false" outlineLevel="0" collapsed="false">
      <c r="A8" s="11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customFormat="false" ht="15.75" hidden="false" customHeight="false" outlineLevel="0" collapsed="false">
      <c r="A9" s="11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customFormat="false" ht="15.75" hidden="false" customHeight="false" outlineLevel="0" collapsed="false">
      <c r="A10" s="11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customFormat="false" ht="15.75" hidden="false" customHeight="false" outlineLevel="0" collapsed="false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customFormat="false" ht="15.75" hidden="false" customHeight="false" outlineLevel="0" collapsed="false">
      <c r="A12" s="11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customFormat="false" ht="15.75" hidden="false" customHeight="false" outlineLevel="0" collapsed="false">
      <c r="A13" s="11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customFormat="false" ht="15.75" hidden="false" customHeight="false" outlineLevel="0" collapsed="false">
      <c r="A14" s="11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customFormat="false" ht="15.75" hidden="false" customHeight="false" outlineLevel="0" collapsed="false">
      <c r="A15" s="11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customFormat="false" ht="15.75" hidden="false" customHeight="false" outlineLevel="0" collapsed="false">
      <c r="A16" s="11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customFormat="false" ht="15.75" hidden="false" customHeight="false" outlineLevel="0" collapsed="false">
      <c r="A17" s="11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customFormat="false" ht="15.75" hidden="false" customHeight="false" outlineLevel="0" collapsed="false">
      <c r="A18" s="11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customFormat="false" ht="15.75" hidden="false" customHeight="false" outlineLevel="0" collapsed="false">
      <c r="A19" s="11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customFormat="false" ht="15.75" hidden="false" customHeight="false" outlineLevel="0" collapsed="false">
      <c r="A20" s="11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customFormat="false" ht="15.75" hidden="false" customHeight="false" outlineLevel="0" collapsed="false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customFormat="false" ht="15.75" hidden="false" customHeight="false" outlineLevel="0" collapsed="false">
      <c r="A22" s="11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customFormat="false" ht="15.75" hidden="false" customHeight="false" outlineLevel="0" collapsed="false">
      <c r="A23" s="11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customFormat="false" ht="15.75" hidden="false" customHeight="false" outlineLevel="0" collapsed="false">
      <c r="A24" s="11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customFormat="false" ht="15.75" hidden="false" customHeight="false" outlineLevel="0" collapsed="false">
      <c r="A25" s="11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customFormat="false" ht="15.75" hidden="false" customHeight="false" outlineLevel="0" collapsed="false">
      <c r="A26" s="11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customFormat="false" ht="15.75" hidden="false" customHeight="false" outlineLevel="0" collapsed="false">
      <c r="A27" s="11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customFormat="false" ht="15.75" hidden="false" customHeight="false" outlineLevel="0" collapsed="false">
      <c r="A28" s="11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customFormat="false" ht="15.75" hidden="false" customHeight="false" outlineLevel="0" collapsed="false">
      <c r="A29" s="11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customFormat="false" ht="15.75" hidden="false" customHeight="false" outlineLevel="0" collapsed="false">
      <c r="A30" s="11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customFormat="false" ht="15.75" hidden="false" customHeight="false" outlineLevel="0" collapsed="false">
      <c r="A31" s="11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customFormat="false" ht="15.75" hidden="false" customHeight="false" outlineLevel="0" collapsed="false">
      <c r="A32" s="11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customFormat="false" ht="15.75" hidden="false" customHeight="false" outlineLevel="0" collapsed="false">
      <c r="A33" s="11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customFormat="false" ht="15.75" hidden="false" customHeight="false" outlineLevel="0" collapsed="false">
      <c r="A34" s="11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customFormat="false" ht="15.75" hidden="false" customHeight="false" outlineLevel="0" collapsed="false">
      <c r="A35" s="11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customFormat="false" ht="15.75" hidden="false" customHeight="false" outlineLevel="0" collapsed="false">
      <c r="A36" s="11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customFormat="false" ht="15.75" hidden="false" customHeight="false" outlineLevel="0" collapsed="false">
      <c r="A37" s="11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customFormat="false" ht="15.75" hidden="false" customHeight="false" outlineLevel="0" collapsed="false">
      <c r="A38" s="11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customFormat="false" ht="15.75" hidden="false" customHeight="false" outlineLevel="0" collapsed="false">
      <c r="A39" s="11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customFormat="false" ht="15.75" hidden="false" customHeight="false" outlineLevel="0" collapsed="false">
      <c r="A40" s="11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customFormat="false" ht="15.75" hidden="false" customHeight="false" outlineLevel="0" collapsed="false">
      <c r="A41" s="11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customFormat="false" ht="15.75" hidden="false" customHeight="false" outlineLevel="0" collapsed="false">
      <c r="A42" s="11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customFormat="false" ht="15.75" hidden="false" customHeight="false" outlineLevel="0" collapsed="false">
      <c r="A43" s="11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customFormat="false" ht="15.75" hidden="false" customHeight="false" outlineLevel="0" collapsed="false">
      <c r="A44" s="11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customFormat="false" ht="15.75" hidden="false" customHeight="false" outlineLevel="0" collapsed="false">
      <c r="A45" s="11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customFormat="false" ht="15.75" hidden="false" customHeight="false" outlineLevel="0" collapsed="false">
      <c r="A46" s="11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customFormat="false" ht="15.75" hidden="false" customHeight="false" outlineLevel="0" collapsed="false">
      <c r="A47" s="11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customFormat="false" ht="15.75" hidden="false" customHeight="false" outlineLevel="0" collapsed="false">
      <c r="A48" s="11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customFormat="false" ht="15.75" hidden="false" customHeight="false" outlineLevel="0" collapsed="false">
      <c r="A49" s="11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customFormat="false" ht="15.75" hidden="false" customHeight="false" outlineLevel="0" collapsed="false">
      <c r="A50" s="11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customFormat="false" ht="15.75" hidden="false" customHeight="false" outlineLevel="0" collapsed="false">
      <c r="A51" s="11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customFormat="false" ht="15.75" hidden="false" customHeight="false" outlineLevel="0" collapsed="false">
      <c r="A52" s="11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customFormat="false" ht="15.75" hidden="false" customHeight="false" outlineLevel="0" collapsed="false">
      <c r="A53" s="11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customFormat="false" ht="15.75" hidden="false" customHeight="false" outlineLevel="0" collapsed="false">
      <c r="A54" s="11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customFormat="false" ht="15.75" hidden="false" customHeight="false" outlineLevel="0" collapsed="false">
      <c r="A55" s="11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customFormat="false" ht="15.75" hidden="false" customHeight="false" outlineLevel="0" collapsed="false">
      <c r="A56" s="11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customFormat="false" ht="15.75" hidden="false" customHeight="false" outlineLevel="0" collapsed="false">
      <c r="A57" s="11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customFormat="false" ht="15.75" hidden="false" customHeight="false" outlineLevel="0" collapsed="false">
      <c r="A58" s="11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customFormat="false" ht="15.75" hidden="false" customHeight="false" outlineLevel="0" collapsed="false">
      <c r="A59" s="11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customFormat="false" ht="15.75" hidden="false" customHeight="false" outlineLevel="0" collapsed="false">
      <c r="A60" s="11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customFormat="false" ht="15.75" hidden="false" customHeight="false" outlineLevel="0" collapsed="false">
      <c r="A61" s="11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customFormat="false" ht="15.75" hidden="false" customHeight="false" outlineLevel="0" collapsed="false">
      <c r="A62" s="11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customFormat="false" ht="15.75" hidden="false" customHeight="false" outlineLevel="0" collapsed="false">
      <c r="A63" s="11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customFormat="false" ht="15.75" hidden="false" customHeight="false" outlineLevel="0" collapsed="false">
      <c r="A64" s="11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customFormat="false" ht="15.75" hidden="false" customHeight="false" outlineLevel="0" collapsed="false">
      <c r="A65" s="11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customFormat="false" ht="15.75" hidden="false" customHeight="false" outlineLevel="0" collapsed="false">
      <c r="A66" s="11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customFormat="false" ht="15.75" hidden="false" customHeight="false" outlineLevel="0" collapsed="false">
      <c r="A67" s="11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customFormat="false" ht="15.75" hidden="false" customHeight="false" outlineLevel="0" collapsed="false">
      <c r="A68" s="11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customFormat="false" ht="15.75" hidden="false" customHeight="false" outlineLevel="0" collapsed="false">
      <c r="A69" s="11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customFormat="false" ht="15.75" hidden="false" customHeight="false" outlineLevel="0" collapsed="false">
      <c r="A70" s="11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customFormat="false" ht="15.75" hidden="false" customHeight="false" outlineLevel="0" collapsed="false">
      <c r="A71" s="11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customFormat="false" ht="15.75" hidden="false" customHeight="false" outlineLevel="0" collapsed="false">
      <c r="A72" s="11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customFormat="false" ht="15.75" hidden="false" customHeight="false" outlineLevel="0" collapsed="false">
      <c r="A73" s="11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customFormat="false" ht="15.75" hidden="false" customHeight="false" outlineLevel="0" collapsed="false">
      <c r="A74" s="11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customFormat="false" ht="15.75" hidden="false" customHeight="false" outlineLevel="0" collapsed="false">
      <c r="A75" s="11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customFormat="false" ht="15.75" hidden="false" customHeight="false" outlineLevel="0" collapsed="false">
      <c r="A76" s="11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customFormat="false" ht="15.75" hidden="false" customHeight="false" outlineLevel="0" collapsed="false">
      <c r="A77" s="11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customFormat="false" ht="15.75" hidden="false" customHeight="false" outlineLevel="0" collapsed="false">
      <c r="A78" s="11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customFormat="false" ht="15.75" hidden="false" customHeight="false" outlineLevel="0" collapsed="false">
      <c r="A79" s="11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customFormat="false" ht="15.75" hidden="false" customHeight="false" outlineLevel="0" collapsed="false">
      <c r="A80" s="11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customFormat="false" ht="15.75" hidden="false" customHeight="false" outlineLevel="0" collapsed="false">
      <c r="A81" s="11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customFormat="false" ht="15.75" hidden="false" customHeight="false" outlineLevel="0" collapsed="false">
      <c r="A82" s="11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customFormat="false" ht="15.75" hidden="false" customHeight="false" outlineLevel="0" collapsed="false">
      <c r="A83" s="11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customFormat="false" ht="15.75" hidden="false" customHeight="false" outlineLevel="0" collapsed="false">
      <c r="A84" s="11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customFormat="false" ht="15.75" hidden="false" customHeight="false" outlineLevel="0" collapsed="false">
      <c r="A85" s="11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customFormat="false" ht="15.75" hidden="false" customHeight="false" outlineLevel="0" collapsed="false">
      <c r="A86" s="11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customFormat="false" ht="15.75" hidden="false" customHeight="false" outlineLevel="0" collapsed="false">
      <c r="A87" s="11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customFormat="false" ht="15.75" hidden="false" customHeight="false" outlineLevel="0" collapsed="false">
      <c r="A88" s="11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customFormat="false" ht="15.75" hidden="false" customHeight="false" outlineLevel="0" collapsed="false">
      <c r="A89" s="11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customFormat="false" ht="15.75" hidden="false" customHeight="false" outlineLevel="0" collapsed="false">
      <c r="A90" s="11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customFormat="false" ht="15.75" hidden="false" customHeight="false" outlineLevel="0" collapsed="false">
      <c r="A91" s="11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customFormat="false" ht="15.75" hidden="false" customHeight="false" outlineLevel="0" collapsed="false">
      <c r="A92" s="11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customFormat="false" ht="15.75" hidden="false" customHeight="false" outlineLevel="0" collapsed="false">
      <c r="A93" s="11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customFormat="false" ht="15.75" hidden="false" customHeight="false" outlineLevel="0" collapsed="false">
      <c r="A94" s="11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customFormat="false" ht="15.75" hidden="false" customHeight="false" outlineLevel="0" collapsed="false">
      <c r="A95" s="11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customFormat="false" ht="15.75" hidden="false" customHeight="false" outlineLevel="0" collapsed="false">
      <c r="A96" s="11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customFormat="false" ht="15.75" hidden="false" customHeight="false" outlineLevel="0" collapsed="false">
      <c r="A97" s="11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customFormat="false" ht="15.75" hidden="false" customHeight="false" outlineLevel="0" collapsed="false">
      <c r="A98" s="11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customFormat="false" ht="15.75" hidden="false" customHeight="false" outlineLevel="0" collapsed="false">
      <c r="A99" s="11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customFormat="false" ht="15.75" hidden="false" customHeight="false" outlineLevel="0" collapsed="false">
      <c r="A100" s="11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customFormat="false" ht="15.75" hidden="false" customHeight="false" outlineLevel="0" collapsed="false">
      <c r="A101" s="11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customFormat="false" ht="15.75" hidden="false" customHeight="false" outlineLevel="0" collapsed="false">
      <c r="A102" s="11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customFormat="false" ht="15.75" hidden="false" customHeight="false" outlineLevel="0" collapsed="false">
      <c r="A103" s="11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customFormat="false" ht="15.75" hidden="false" customHeight="false" outlineLevel="0" collapsed="false">
      <c r="A104" s="11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customFormat="false" ht="15.75" hidden="false" customHeight="false" outlineLevel="0" collapsed="false">
      <c r="A105" s="11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customFormat="false" ht="15.75" hidden="false" customHeight="false" outlineLevel="0" collapsed="false">
      <c r="A106" s="11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customFormat="false" ht="15.75" hidden="false" customHeight="false" outlineLevel="0" collapsed="false">
      <c r="A107" s="11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customFormat="false" ht="15.75" hidden="false" customHeight="false" outlineLevel="0" collapsed="false">
      <c r="A108" s="11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customFormat="false" ht="15.75" hidden="false" customHeight="false" outlineLevel="0" collapsed="false">
      <c r="A109" s="11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customFormat="false" ht="15.75" hidden="false" customHeight="false" outlineLevel="0" collapsed="false">
      <c r="A110" s="11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customFormat="false" ht="15.75" hidden="false" customHeight="false" outlineLevel="0" collapsed="false">
      <c r="A111" s="11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customFormat="false" ht="15.75" hidden="false" customHeight="false" outlineLevel="0" collapsed="false">
      <c r="A112" s="11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customFormat="false" ht="15.75" hidden="false" customHeight="false" outlineLevel="0" collapsed="false">
      <c r="A113" s="11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customFormat="false" ht="15.75" hidden="false" customHeight="false" outlineLevel="0" collapsed="false">
      <c r="A114" s="11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customFormat="false" ht="15.75" hidden="false" customHeight="false" outlineLevel="0" collapsed="false">
      <c r="A115" s="11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customFormat="false" ht="15.75" hidden="false" customHeight="false" outlineLevel="0" collapsed="false">
      <c r="A116" s="11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customFormat="false" ht="15.75" hidden="false" customHeight="false" outlineLevel="0" collapsed="false">
      <c r="A117" s="11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customFormat="false" ht="15.75" hidden="false" customHeight="false" outlineLevel="0" collapsed="false">
      <c r="A118" s="11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customFormat="false" ht="15.75" hidden="false" customHeight="false" outlineLevel="0" collapsed="false">
      <c r="A119" s="11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customFormat="false" ht="15.75" hidden="false" customHeight="false" outlineLevel="0" collapsed="false">
      <c r="A120" s="11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customFormat="false" ht="15.75" hidden="false" customHeight="false" outlineLevel="0" collapsed="false">
      <c r="A121" s="11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customFormat="false" ht="15.75" hidden="false" customHeight="false" outlineLevel="0" collapsed="false">
      <c r="A122" s="11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customFormat="false" ht="15.75" hidden="false" customHeight="false" outlineLevel="0" collapsed="false">
      <c r="A123" s="11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customFormat="false" ht="15.75" hidden="false" customHeight="false" outlineLevel="0" collapsed="false">
      <c r="A124" s="11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customFormat="false" ht="15.75" hidden="false" customHeight="false" outlineLevel="0" collapsed="false">
      <c r="A125" s="11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customFormat="false" ht="15.75" hidden="false" customHeight="false" outlineLevel="0" collapsed="false">
      <c r="A126" s="11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customFormat="false" ht="15.75" hidden="false" customHeight="false" outlineLevel="0" collapsed="false">
      <c r="A127" s="11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customFormat="false" ht="15.75" hidden="false" customHeight="false" outlineLevel="0" collapsed="false">
      <c r="A128" s="11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customFormat="false" ht="15.75" hidden="false" customHeight="false" outlineLevel="0" collapsed="false">
      <c r="A129" s="11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customFormat="false" ht="15.75" hidden="false" customHeight="false" outlineLevel="0" collapsed="false">
      <c r="A130" s="11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customFormat="false" ht="15.75" hidden="false" customHeight="false" outlineLevel="0" collapsed="false">
      <c r="A131" s="11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customFormat="false" ht="15.75" hidden="false" customHeight="false" outlineLevel="0" collapsed="false">
      <c r="A132" s="11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customFormat="false" ht="15.75" hidden="false" customHeight="false" outlineLevel="0" collapsed="false">
      <c r="A133" s="11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customFormat="false" ht="15.75" hidden="false" customHeight="false" outlineLevel="0" collapsed="false">
      <c r="A134" s="11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customFormat="false" ht="15.75" hidden="false" customHeight="false" outlineLevel="0" collapsed="false">
      <c r="A135" s="11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customFormat="false" ht="15.75" hidden="false" customHeight="false" outlineLevel="0" collapsed="false">
      <c r="A136" s="11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customFormat="false" ht="15.75" hidden="false" customHeight="false" outlineLevel="0" collapsed="false">
      <c r="A137" s="11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customFormat="false" ht="15.75" hidden="false" customHeight="false" outlineLevel="0" collapsed="false">
      <c r="A138" s="11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customFormat="false" ht="15.75" hidden="false" customHeight="false" outlineLevel="0" collapsed="false">
      <c r="A139" s="11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customFormat="false" ht="15.75" hidden="false" customHeight="false" outlineLevel="0" collapsed="false">
      <c r="A140" s="11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customFormat="false" ht="15.75" hidden="false" customHeight="false" outlineLevel="0" collapsed="false">
      <c r="A141" s="11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customFormat="false" ht="15.75" hidden="false" customHeight="false" outlineLevel="0" collapsed="false">
      <c r="A142" s="11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customFormat="false" ht="15.75" hidden="false" customHeight="false" outlineLevel="0" collapsed="false">
      <c r="A143" s="11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customFormat="false" ht="15.75" hidden="false" customHeight="false" outlineLevel="0" collapsed="false">
      <c r="A144" s="11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customFormat="false" ht="15.75" hidden="false" customHeight="false" outlineLevel="0" collapsed="false">
      <c r="A145" s="11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customFormat="false" ht="15.75" hidden="false" customHeight="false" outlineLevel="0" collapsed="false">
      <c r="A146" s="11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customFormat="false" ht="15.75" hidden="false" customHeight="false" outlineLevel="0" collapsed="false">
      <c r="A147" s="11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customFormat="false" ht="15.75" hidden="false" customHeight="false" outlineLevel="0" collapsed="false">
      <c r="A148" s="11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customFormat="false" ht="15.75" hidden="false" customHeight="false" outlineLevel="0" collapsed="false">
      <c r="A149" s="11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customFormat="false" ht="15.75" hidden="false" customHeight="false" outlineLevel="0" collapsed="false">
      <c r="A150" s="11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customFormat="false" ht="15.75" hidden="false" customHeight="false" outlineLevel="0" collapsed="false">
      <c r="A151" s="11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customFormat="false" ht="15.75" hidden="false" customHeight="false" outlineLevel="0" collapsed="false">
      <c r="A152" s="11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customFormat="false" ht="15.75" hidden="false" customHeight="false" outlineLevel="0" collapsed="false">
      <c r="A153" s="11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customFormat="false" ht="15.75" hidden="false" customHeight="false" outlineLevel="0" collapsed="false">
      <c r="A154" s="11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customFormat="false" ht="15.75" hidden="false" customHeight="false" outlineLevel="0" collapsed="false">
      <c r="A155" s="11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customFormat="false" ht="15.75" hidden="false" customHeight="false" outlineLevel="0" collapsed="false">
      <c r="A156" s="11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customFormat="false" ht="15.75" hidden="false" customHeight="false" outlineLevel="0" collapsed="false">
      <c r="A157" s="11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customFormat="false" ht="15.75" hidden="false" customHeight="false" outlineLevel="0" collapsed="false">
      <c r="A158" s="11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customFormat="false" ht="15.75" hidden="false" customHeight="false" outlineLevel="0" collapsed="false">
      <c r="A159" s="11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customFormat="false" ht="15.75" hidden="false" customHeight="false" outlineLevel="0" collapsed="false">
      <c r="A160" s="11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customFormat="false" ht="15.75" hidden="false" customHeight="false" outlineLevel="0" collapsed="false">
      <c r="A161" s="11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customFormat="false" ht="15.75" hidden="false" customHeight="false" outlineLevel="0" collapsed="false">
      <c r="A162" s="11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customFormat="false" ht="15.75" hidden="false" customHeight="false" outlineLevel="0" collapsed="false">
      <c r="A163" s="11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customFormat="false" ht="15.75" hidden="false" customHeight="false" outlineLevel="0" collapsed="false">
      <c r="A164" s="11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customFormat="false" ht="15.75" hidden="false" customHeight="false" outlineLevel="0" collapsed="false">
      <c r="A165" s="11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customFormat="false" ht="15.75" hidden="false" customHeight="false" outlineLevel="0" collapsed="false">
      <c r="A166" s="11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customFormat="false" ht="15.75" hidden="false" customHeight="false" outlineLevel="0" collapsed="false">
      <c r="A167" s="11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customFormat="false" ht="15.75" hidden="false" customHeight="false" outlineLevel="0" collapsed="false">
      <c r="A168" s="11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customFormat="false" ht="15.75" hidden="false" customHeight="false" outlineLevel="0" collapsed="false">
      <c r="A169" s="11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customFormat="false" ht="15.75" hidden="false" customHeight="false" outlineLevel="0" collapsed="false">
      <c r="A170" s="11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customFormat="false" ht="15.75" hidden="false" customHeight="false" outlineLevel="0" collapsed="false">
      <c r="A171" s="11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customFormat="false" ht="15.75" hidden="false" customHeight="false" outlineLevel="0" collapsed="false">
      <c r="A172" s="11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customFormat="false" ht="15.75" hidden="false" customHeight="false" outlineLevel="0" collapsed="false">
      <c r="A173" s="11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customFormat="false" ht="15.75" hidden="false" customHeight="false" outlineLevel="0" collapsed="false">
      <c r="A174" s="11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customFormat="false" ht="15.75" hidden="false" customHeight="false" outlineLevel="0" collapsed="false">
      <c r="A175" s="11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customFormat="false" ht="15.75" hidden="false" customHeight="false" outlineLevel="0" collapsed="false">
      <c r="A176" s="11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customFormat="false" ht="15.75" hidden="false" customHeight="false" outlineLevel="0" collapsed="false">
      <c r="A177" s="11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customFormat="false" ht="15.75" hidden="false" customHeight="false" outlineLevel="0" collapsed="false">
      <c r="A178" s="11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customFormat="false" ht="15.75" hidden="false" customHeight="false" outlineLevel="0" collapsed="false">
      <c r="A179" s="11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customFormat="false" ht="15.75" hidden="false" customHeight="false" outlineLevel="0" collapsed="false">
      <c r="A180" s="11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customFormat="false" ht="15.75" hidden="false" customHeight="false" outlineLevel="0" collapsed="false">
      <c r="A181" s="11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customFormat="false" ht="15.75" hidden="false" customHeight="false" outlineLevel="0" collapsed="false">
      <c r="A182" s="11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customFormat="false" ht="15.75" hidden="false" customHeight="false" outlineLevel="0" collapsed="false">
      <c r="A183" s="11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customFormat="false" ht="15.75" hidden="false" customHeight="false" outlineLevel="0" collapsed="false">
      <c r="A184" s="11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customFormat="false" ht="15.75" hidden="false" customHeight="false" outlineLevel="0" collapsed="false">
      <c r="A185" s="11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customFormat="false" ht="15.75" hidden="false" customHeight="false" outlineLevel="0" collapsed="false">
      <c r="A186" s="11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customFormat="false" ht="15.75" hidden="false" customHeight="false" outlineLevel="0" collapsed="false">
      <c r="A187" s="11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customFormat="false" ht="15.75" hidden="false" customHeight="false" outlineLevel="0" collapsed="false">
      <c r="A188" s="11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customFormat="false" ht="15.75" hidden="false" customHeight="false" outlineLevel="0" collapsed="false">
      <c r="A189" s="11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customFormat="false" ht="15.75" hidden="false" customHeight="false" outlineLevel="0" collapsed="false">
      <c r="A190" s="11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customFormat="false" ht="15.75" hidden="false" customHeight="false" outlineLevel="0" collapsed="false">
      <c r="A191" s="11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customFormat="false" ht="15.75" hidden="false" customHeight="false" outlineLevel="0" collapsed="false">
      <c r="A192" s="11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customFormat="false" ht="15.75" hidden="false" customHeight="false" outlineLevel="0" collapsed="false">
      <c r="A193" s="11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customFormat="false" ht="15.75" hidden="false" customHeight="false" outlineLevel="0" collapsed="false">
      <c r="A194" s="11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customFormat="false" ht="15.75" hidden="false" customHeight="false" outlineLevel="0" collapsed="false">
      <c r="A195" s="11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customFormat="false" ht="15.75" hidden="false" customHeight="false" outlineLevel="0" collapsed="false">
      <c r="A196" s="11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customFormat="false" ht="15.75" hidden="false" customHeight="false" outlineLevel="0" collapsed="false">
      <c r="A197" s="11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customFormat="false" ht="15.75" hidden="false" customHeight="false" outlineLevel="0" collapsed="false">
      <c r="A198" s="11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customFormat="false" ht="15.75" hidden="false" customHeight="false" outlineLevel="0" collapsed="false">
      <c r="A199" s="11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customFormat="false" ht="15.75" hidden="false" customHeight="false" outlineLevel="0" collapsed="false">
      <c r="A200" s="11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customFormat="false" ht="15.75" hidden="false" customHeight="false" outlineLevel="0" collapsed="false">
      <c r="A201" s="11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customFormat="false" ht="15.75" hidden="false" customHeight="false" outlineLevel="0" collapsed="false">
      <c r="A202" s="11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customFormat="false" ht="15.75" hidden="false" customHeight="false" outlineLevel="0" collapsed="false">
      <c r="A203" s="11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customFormat="false" ht="15.75" hidden="false" customHeight="false" outlineLevel="0" collapsed="false">
      <c r="A204" s="11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customFormat="false" ht="15.75" hidden="false" customHeight="false" outlineLevel="0" collapsed="false">
      <c r="A205" s="11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customFormat="false" ht="15.75" hidden="false" customHeight="false" outlineLevel="0" collapsed="false">
      <c r="A206" s="11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customFormat="false" ht="15.75" hidden="false" customHeight="false" outlineLevel="0" collapsed="false">
      <c r="A207" s="11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customFormat="false" ht="15.75" hidden="false" customHeight="false" outlineLevel="0" collapsed="false">
      <c r="A208" s="11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customFormat="false" ht="15.75" hidden="false" customHeight="false" outlineLevel="0" collapsed="false">
      <c r="A209" s="11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customFormat="false" ht="15.75" hidden="false" customHeight="false" outlineLevel="0" collapsed="false">
      <c r="A210" s="11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customFormat="false" ht="15.75" hidden="false" customHeight="false" outlineLevel="0" collapsed="false">
      <c r="A211" s="11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customFormat="false" ht="15.75" hidden="false" customHeight="false" outlineLevel="0" collapsed="false">
      <c r="A212" s="11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customFormat="false" ht="15.75" hidden="false" customHeight="false" outlineLevel="0" collapsed="false">
      <c r="A213" s="11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customFormat="false" ht="15.75" hidden="false" customHeight="false" outlineLevel="0" collapsed="false">
      <c r="A214" s="11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customFormat="false" ht="15.75" hidden="false" customHeight="false" outlineLevel="0" collapsed="false">
      <c r="A215" s="11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customFormat="false" ht="15.75" hidden="false" customHeight="false" outlineLevel="0" collapsed="false">
      <c r="A216" s="11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customFormat="false" ht="15.75" hidden="false" customHeight="false" outlineLevel="0" collapsed="false">
      <c r="A217" s="11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customFormat="false" ht="15.75" hidden="false" customHeight="false" outlineLevel="0" collapsed="false">
      <c r="A218" s="11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customFormat="false" ht="15.75" hidden="false" customHeight="false" outlineLevel="0" collapsed="false">
      <c r="A219" s="11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customFormat="false" ht="15.75" hidden="false" customHeight="false" outlineLevel="0" collapsed="false">
      <c r="A220" s="11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customFormat="false" ht="15.75" hidden="false" customHeight="false" outlineLevel="0" collapsed="false">
      <c r="A221" s="11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customFormat="false" ht="15.75" hidden="false" customHeight="false" outlineLevel="0" collapsed="false">
      <c r="A222" s="11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customFormat="false" ht="15.75" hidden="false" customHeight="false" outlineLevel="0" collapsed="false">
      <c r="A223" s="11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customFormat="false" ht="15.75" hidden="false" customHeight="false" outlineLevel="0" collapsed="false">
      <c r="A224" s="11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customFormat="false" ht="15.75" hidden="false" customHeight="false" outlineLevel="0" collapsed="false">
      <c r="A225" s="11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customFormat="false" ht="15.75" hidden="false" customHeight="false" outlineLevel="0" collapsed="false">
      <c r="A226" s="11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customFormat="false" ht="15.75" hidden="false" customHeight="false" outlineLevel="0" collapsed="false">
      <c r="A227" s="11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customFormat="false" ht="15.75" hidden="false" customHeight="false" outlineLevel="0" collapsed="false">
      <c r="A228" s="11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customFormat="false" ht="15.75" hidden="false" customHeight="false" outlineLevel="0" collapsed="false">
      <c r="A229" s="11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customFormat="false" ht="15.75" hidden="false" customHeight="false" outlineLevel="0" collapsed="false">
      <c r="A230" s="11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customFormat="false" ht="15.75" hidden="false" customHeight="false" outlineLevel="0" collapsed="false">
      <c r="A231" s="11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customFormat="false" ht="15.75" hidden="false" customHeight="false" outlineLevel="0" collapsed="false">
      <c r="A232" s="11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customFormat="false" ht="15.75" hidden="false" customHeight="false" outlineLevel="0" collapsed="false">
      <c r="A233" s="11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customFormat="false" ht="15.75" hidden="false" customHeight="false" outlineLevel="0" collapsed="false">
      <c r="A234" s="11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customFormat="false" ht="15.75" hidden="false" customHeight="false" outlineLevel="0" collapsed="false">
      <c r="A235" s="11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customFormat="false" ht="15.75" hidden="false" customHeight="false" outlineLevel="0" collapsed="false">
      <c r="A236" s="11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customFormat="false" ht="15.75" hidden="false" customHeight="false" outlineLevel="0" collapsed="false">
      <c r="A237" s="11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customFormat="false" ht="15.75" hidden="false" customHeight="false" outlineLevel="0" collapsed="false">
      <c r="A238" s="11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customFormat="false" ht="15.75" hidden="false" customHeight="false" outlineLevel="0" collapsed="false">
      <c r="A239" s="11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customFormat="false" ht="15.75" hidden="false" customHeight="false" outlineLevel="0" collapsed="false">
      <c r="A240" s="11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customFormat="false" ht="15.75" hidden="false" customHeight="false" outlineLevel="0" collapsed="false">
      <c r="A241" s="11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customFormat="false" ht="15.75" hidden="false" customHeight="false" outlineLevel="0" collapsed="false">
      <c r="A242" s="11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customFormat="false" ht="15.75" hidden="false" customHeight="false" outlineLevel="0" collapsed="false">
      <c r="A243" s="11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customFormat="false" ht="15.75" hidden="false" customHeight="false" outlineLevel="0" collapsed="false">
      <c r="A244" s="11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customFormat="false" ht="15.75" hidden="false" customHeight="false" outlineLevel="0" collapsed="false">
      <c r="A245" s="11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customFormat="false" ht="15.75" hidden="false" customHeight="false" outlineLevel="0" collapsed="false">
      <c r="A246" s="11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customFormat="false" ht="15.75" hidden="false" customHeight="false" outlineLevel="0" collapsed="false">
      <c r="A247" s="11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customFormat="false" ht="15.75" hidden="false" customHeight="false" outlineLevel="0" collapsed="false">
      <c r="A248" s="11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customFormat="false" ht="15.75" hidden="false" customHeight="false" outlineLevel="0" collapsed="false">
      <c r="A249" s="11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customFormat="false" ht="15.75" hidden="false" customHeight="false" outlineLevel="0" collapsed="false">
      <c r="A250" s="11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customFormat="false" ht="15.75" hidden="false" customHeight="false" outlineLevel="0" collapsed="false">
      <c r="A251" s="11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customFormat="false" ht="15.75" hidden="false" customHeight="false" outlineLevel="0" collapsed="false">
      <c r="A252" s="11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customFormat="false" ht="15.75" hidden="false" customHeight="false" outlineLevel="0" collapsed="false">
      <c r="A253" s="11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customFormat="false" ht="15.75" hidden="false" customHeight="false" outlineLevel="0" collapsed="false">
      <c r="A254" s="11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customFormat="false" ht="15.75" hidden="false" customHeight="false" outlineLevel="0" collapsed="false">
      <c r="A255" s="11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customFormat="false" ht="15.75" hidden="false" customHeight="false" outlineLevel="0" collapsed="false">
      <c r="A256" s="11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customFormat="false" ht="15.75" hidden="false" customHeight="false" outlineLevel="0" collapsed="false">
      <c r="A257" s="11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customFormat="false" ht="15.75" hidden="false" customHeight="false" outlineLevel="0" collapsed="false">
      <c r="A258" s="11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customFormat="false" ht="15.75" hidden="false" customHeight="false" outlineLevel="0" collapsed="false">
      <c r="A259" s="11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customFormat="false" ht="15.75" hidden="false" customHeight="false" outlineLevel="0" collapsed="false">
      <c r="A260" s="11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customFormat="false" ht="15.75" hidden="false" customHeight="false" outlineLevel="0" collapsed="false">
      <c r="A261" s="11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customFormat="false" ht="15.75" hidden="false" customHeight="false" outlineLevel="0" collapsed="false">
      <c r="A262" s="11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customFormat="false" ht="15.75" hidden="false" customHeight="false" outlineLevel="0" collapsed="false">
      <c r="A263" s="11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customFormat="false" ht="15.75" hidden="false" customHeight="false" outlineLevel="0" collapsed="false">
      <c r="A264" s="11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customFormat="false" ht="15.75" hidden="false" customHeight="false" outlineLevel="0" collapsed="false">
      <c r="A265" s="11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customFormat="false" ht="15.75" hidden="false" customHeight="false" outlineLevel="0" collapsed="false">
      <c r="A266" s="11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customFormat="false" ht="15.75" hidden="false" customHeight="false" outlineLevel="0" collapsed="false">
      <c r="A267" s="11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customFormat="false" ht="15.75" hidden="false" customHeight="false" outlineLevel="0" collapsed="false">
      <c r="A268" s="11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customFormat="false" ht="15.75" hidden="false" customHeight="false" outlineLevel="0" collapsed="false">
      <c r="A269" s="11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customFormat="false" ht="15.75" hidden="false" customHeight="false" outlineLevel="0" collapsed="false">
      <c r="A270" s="11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customFormat="false" ht="15.75" hidden="false" customHeight="false" outlineLevel="0" collapsed="false">
      <c r="A271" s="11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customFormat="false" ht="15.75" hidden="false" customHeight="false" outlineLevel="0" collapsed="false">
      <c r="A272" s="11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customFormat="false" ht="15.75" hidden="false" customHeight="false" outlineLevel="0" collapsed="false">
      <c r="A273" s="11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customFormat="false" ht="15.75" hidden="false" customHeight="false" outlineLevel="0" collapsed="false">
      <c r="A274" s="11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customFormat="false" ht="15.75" hidden="false" customHeight="false" outlineLevel="0" collapsed="false">
      <c r="A275" s="11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customFormat="false" ht="15.75" hidden="false" customHeight="false" outlineLevel="0" collapsed="false">
      <c r="A276" s="11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customFormat="false" ht="15.75" hidden="false" customHeight="false" outlineLevel="0" collapsed="false">
      <c r="A277" s="11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customFormat="false" ht="15.75" hidden="false" customHeight="false" outlineLevel="0" collapsed="false">
      <c r="A278" s="11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customFormat="false" ht="15.75" hidden="false" customHeight="false" outlineLevel="0" collapsed="false">
      <c r="A279" s="11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customFormat="false" ht="15.75" hidden="false" customHeight="false" outlineLevel="0" collapsed="false">
      <c r="A280" s="11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customFormat="false" ht="15.75" hidden="false" customHeight="false" outlineLevel="0" collapsed="false">
      <c r="A281" s="11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customFormat="false" ht="15.75" hidden="false" customHeight="false" outlineLevel="0" collapsed="false">
      <c r="A282" s="11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customFormat="false" ht="15.75" hidden="false" customHeight="false" outlineLevel="0" collapsed="false">
      <c r="A283" s="11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customFormat="false" ht="15.75" hidden="false" customHeight="false" outlineLevel="0" collapsed="false">
      <c r="A284" s="11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customFormat="false" ht="15.75" hidden="false" customHeight="false" outlineLevel="0" collapsed="false">
      <c r="A285" s="11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customFormat="false" ht="15.75" hidden="false" customHeight="false" outlineLevel="0" collapsed="false">
      <c r="A286" s="11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customFormat="false" ht="15.75" hidden="false" customHeight="false" outlineLevel="0" collapsed="false">
      <c r="A287" s="11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customFormat="false" ht="15.75" hidden="false" customHeight="false" outlineLevel="0" collapsed="false">
      <c r="A288" s="11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customFormat="false" ht="15.75" hidden="false" customHeight="false" outlineLevel="0" collapsed="false">
      <c r="A289" s="11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customFormat="false" ht="15.75" hidden="false" customHeight="false" outlineLevel="0" collapsed="false">
      <c r="A290" s="11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customFormat="false" ht="15.75" hidden="false" customHeight="false" outlineLevel="0" collapsed="false">
      <c r="A291" s="11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customFormat="false" ht="15.75" hidden="false" customHeight="false" outlineLevel="0" collapsed="false">
      <c r="A292" s="11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customFormat="false" ht="15.75" hidden="false" customHeight="false" outlineLevel="0" collapsed="false">
      <c r="A293" s="11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customFormat="false" ht="15.75" hidden="false" customHeight="false" outlineLevel="0" collapsed="false">
      <c r="A294" s="11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customFormat="false" ht="15.75" hidden="false" customHeight="false" outlineLevel="0" collapsed="false">
      <c r="A295" s="11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customFormat="false" ht="15.75" hidden="false" customHeight="false" outlineLevel="0" collapsed="false">
      <c r="A296" s="11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customFormat="false" ht="15.75" hidden="false" customHeight="false" outlineLevel="0" collapsed="false">
      <c r="A297" s="11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customFormat="false" ht="15.75" hidden="false" customHeight="false" outlineLevel="0" collapsed="false">
      <c r="A298" s="11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customFormat="false" ht="15.75" hidden="false" customHeight="false" outlineLevel="0" collapsed="false">
      <c r="A299" s="11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customFormat="false" ht="15.75" hidden="false" customHeight="false" outlineLevel="0" collapsed="false">
      <c r="A300" s="11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customFormat="false" ht="15.75" hidden="false" customHeight="false" outlineLevel="0" collapsed="false">
      <c r="A301" s="11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customFormat="false" ht="15.75" hidden="false" customHeight="false" outlineLevel="0" collapsed="false">
      <c r="A302" s="11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customFormat="false" ht="15.75" hidden="false" customHeight="false" outlineLevel="0" collapsed="false">
      <c r="A303" s="11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customFormat="false" ht="15.75" hidden="false" customHeight="false" outlineLevel="0" collapsed="false">
      <c r="A304" s="11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customFormat="false" ht="15.75" hidden="false" customHeight="false" outlineLevel="0" collapsed="false">
      <c r="A305" s="11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customFormat="false" ht="15.75" hidden="false" customHeight="false" outlineLevel="0" collapsed="false">
      <c r="A306" s="11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customFormat="false" ht="15.75" hidden="false" customHeight="false" outlineLevel="0" collapsed="false">
      <c r="A307" s="11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customFormat="false" ht="15.75" hidden="false" customHeight="false" outlineLevel="0" collapsed="false">
      <c r="A308" s="11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customFormat="false" ht="15.75" hidden="false" customHeight="false" outlineLevel="0" collapsed="false">
      <c r="A309" s="11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customFormat="false" ht="15.75" hidden="false" customHeight="false" outlineLevel="0" collapsed="false">
      <c r="A310" s="11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customFormat="false" ht="15.75" hidden="false" customHeight="false" outlineLevel="0" collapsed="false">
      <c r="A311" s="11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customFormat="false" ht="15.75" hidden="false" customHeight="false" outlineLevel="0" collapsed="false">
      <c r="A312" s="11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customFormat="false" ht="15.75" hidden="false" customHeight="false" outlineLevel="0" collapsed="false">
      <c r="A313" s="11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customFormat="false" ht="15.75" hidden="false" customHeight="false" outlineLevel="0" collapsed="false">
      <c r="A314" s="11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customFormat="false" ht="15.75" hidden="false" customHeight="false" outlineLevel="0" collapsed="false">
      <c r="A315" s="11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customFormat="false" ht="15.75" hidden="false" customHeight="false" outlineLevel="0" collapsed="false">
      <c r="A316" s="11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customFormat="false" ht="15.75" hidden="false" customHeight="false" outlineLevel="0" collapsed="false">
      <c r="A317" s="11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customFormat="false" ht="15.75" hidden="false" customHeight="false" outlineLevel="0" collapsed="false">
      <c r="A318" s="11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customFormat="false" ht="15.75" hidden="false" customHeight="false" outlineLevel="0" collapsed="false">
      <c r="A319" s="11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customFormat="false" ht="15.75" hidden="false" customHeight="false" outlineLevel="0" collapsed="false">
      <c r="A320" s="11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customFormat="false" ht="15.75" hidden="false" customHeight="false" outlineLevel="0" collapsed="false">
      <c r="A321" s="11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customFormat="false" ht="15.75" hidden="false" customHeight="false" outlineLevel="0" collapsed="false">
      <c r="A322" s="11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customFormat="false" ht="15.75" hidden="false" customHeight="false" outlineLevel="0" collapsed="false">
      <c r="A323" s="11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customFormat="false" ht="15.75" hidden="false" customHeight="false" outlineLevel="0" collapsed="false">
      <c r="A324" s="11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customFormat="false" ht="15.75" hidden="false" customHeight="false" outlineLevel="0" collapsed="false">
      <c r="A325" s="11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customFormat="false" ht="15.75" hidden="false" customHeight="false" outlineLevel="0" collapsed="false">
      <c r="A326" s="11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customFormat="false" ht="15.75" hidden="false" customHeight="false" outlineLevel="0" collapsed="false">
      <c r="A327" s="11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customFormat="false" ht="15.75" hidden="false" customHeight="false" outlineLevel="0" collapsed="false">
      <c r="A328" s="11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customFormat="false" ht="15.75" hidden="false" customHeight="false" outlineLevel="0" collapsed="false">
      <c r="A329" s="11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customFormat="false" ht="15.75" hidden="false" customHeight="false" outlineLevel="0" collapsed="false">
      <c r="A330" s="11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customFormat="false" ht="15.75" hidden="false" customHeight="false" outlineLevel="0" collapsed="false">
      <c r="A331" s="11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customFormat="false" ht="15.75" hidden="false" customHeight="false" outlineLevel="0" collapsed="false">
      <c r="A332" s="11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customFormat="false" ht="15.75" hidden="false" customHeight="false" outlineLevel="0" collapsed="false">
      <c r="A333" s="11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customFormat="false" ht="15.75" hidden="false" customHeight="false" outlineLevel="0" collapsed="false">
      <c r="A334" s="11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customFormat="false" ht="15.75" hidden="false" customHeight="false" outlineLevel="0" collapsed="false">
      <c r="A335" s="11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customFormat="false" ht="15.75" hidden="false" customHeight="false" outlineLevel="0" collapsed="false">
      <c r="A336" s="11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customFormat="false" ht="15.75" hidden="false" customHeight="false" outlineLevel="0" collapsed="false">
      <c r="A337" s="11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customFormat="false" ht="15.75" hidden="false" customHeight="false" outlineLevel="0" collapsed="false">
      <c r="A338" s="11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customFormat="false" ht="15.75" hidden="false" customHeight="false" outlineLevel="0" collapsed="false">
      <c r="A339" s="11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customFormat="false" ht="15.75" hidden="false" customHeight="false" outlineLevel="0" collapsed="false">
      <c r="A340" s="11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customFormat="false" ht="15.75" hidden="false" customHeight="false" outlineLevel="0" collapsed="false">
      <c r="A341" s="11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customFormat="false" ht="15.75" hidden="false" customHeight="false" outlineLevel="0" collapsed="false">
      <c r="A342" s="11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customFormat="false" ht="15.75" hidden="false" customHeight="false" outlineLevel="0" collapsed="false">
      <c r="A343" s="11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customFormat="false" ht="15.75" hidden="false" customHeight="false" outlineLevel="0" collapsed="false">
      <c r="A344" s="11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customFormat="false" ht="15.75" hidden="false" customHeight="false" outlineLevel="0" collapsed="false">
      <c r="A345" s="11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customFormat="false" ht="15.75" hidden="false" customHeight="false" outlineLevel="0" collapsed="false">
      <c r="A346" s="11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customFormat="false" ht="15.75" hidden="false" customHeight="false" outlineLevel="0" collapsed="false">
      <c r="A347" s="11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customFormat="false" ht="15.75" hidden="false" customHeight="false" outlineLevel="0" collapsed="false">
      <c r="A348" s="11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customFormat="false" ht="15.75" hidden="false" customHeight="false" outlineLevel="0" collapsed="false">
      <c r="A349" s="11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customFormat="false" ht="15.75" hidden="false" customHeight="false" outlineLevel="0" collapsed="false">
      <c r="A350" s="11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customFormat="false" ht="15.75" hidden="false" customHeight="false" outlineLevel="0" collapsed="false">
      <c r="A351" s="11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customFormat="false" ht="15.75" hidden="false" customHeight="false" outlineLevel="0" collapsed="false">
      <c r="A352" s="11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customFormat="false" ht="15.75" hidden="false" customHeight="false" outlineLevel="0" collapsed="false">
      <c r="A353" s="11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customFormat="false" ht="15.75" hidden="false" customHeight="false" outlineLevel="0" collapsed="false">
      <c r="A354" s="11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customFormat="false" ht="15.75" hidden="false" customHeight="false" outlineLevel="0" collapsed="false">
      <c r="A355" s="11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customFormat="false" ht="15.75" hidden="false" customHeight="false" outlineLevel="0" collapsed="false">
      <c r="A356" s="11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customFormat="false" ht="15.75" hidden="false" customHeight="false" outlineLevel="0" collapsed="false">
      <c r="A357" s="11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customFormat="false" ht="15.75" hidden="false" customHeight="false" outlineLevel="0" collapsed="false">
      <c r="A358" s="11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customFormat="false" ht="15.75" hidden="false" customHeight="false" outlineLevel="0" collapsed="false">
      <c r="A359" s="11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customFormat="false" ht="15.75" hidden="false" customHeight="false" outlineLevel="0" collapsed="false">
      <c r="A360" s="11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customFormat="false" ht="15.75" hidden="false" customHeight="false" outlineLevel="0" collapsed="false">
      <c r="A361" s="11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customFormat="false" ht="15.75" hidden="false" customHeight="false" outlineLevel="0" collapsed="false">
      <c r="A362" s="11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customFormat="false" ht="15.75" hidden="false" customHeight="false" outlineLevel="0" collapsed="false">
      <c r="A363" s="11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customFormat="false" ht="15.75" hidden="false" customHeight="false" outlineLevel="0" collapsed="false">
      <c r="A364" s="11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customFormat="false" ht="15.75" hidden="false" customHeight="false" outlineLevel="0" collapsed="false">
      <c r="A365" s="11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customFormat="false" ht="15.75" hidden="false" customHeight="false" outlineLevel="0" collapsed="false">
      <c r="A366" s="11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customFormat="false" ht="15.75" hidden="false" customHeight="false" outlineLevel="0" collapsed="false">
      <c r="A367" s="11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customFormat="false" ht="15.75" hidden="false" customHeight="false" outlineLevel="0" collapsed="false">
      <c r="A368" s="11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customFormat="false" ht="15.75" hidden="false" customHeight="false" outlineLevel="0" collapsed="false">
      <c r="A369" s="11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customFormat="false" ht="15.75" hidden="false" customHeight="false" outlineLevel="0" collapsed="false">
      <c r="A370" s="11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customFormat="false" ht="15.75" hidden="false" customHeight="false" outlineLevel="0" collapsed="false">
      <c r="A371" s="11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customFormat="false" ht="15.75" hidden="false" customHeight="false" outlineLevel="0" collapsed="false">
      <c r="A372" s="11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customFormat="false" ht="15.75" hidden="false" customHeight="false" outlineLevel="0" collapsed="false">
      <c r="A373" s="11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customFormat="false" ht="15.75" hidden="false" customHeight="false" outlineLevel="0" collapsed="false">
      <c r="A374" s="11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customFormat="false" ht="15.75" hidden="false" customHeight="false" outlineLevel="0" collapsed="false">
      <c r="A375" s="11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customFormat="false" ht="15.75" hidden="false" customHeight="false" outlineLevel="0" collapsed="false">
      <c r="A376" s="11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customFormat="false" ht="15.75" hidden="false" customHeight="false" outlineLevel="0" collapsed="false">
      <c r="A377" s="11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customFormat="false" ht="15.75" hidden="false" customHeight="false" outlineLevel="0" collapsed="false">
      <c r="A378" s="11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customFormat="false" ht="15.75" hidden="false" customHeight="false" outlineLevel="0" collapsed="false">
      <c r="A379" s="11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customFormat="false" ht="15.75" hidden="false" customHeight="false" outlineLevel="0" collapsed="false">
      <c r="A380" s="11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customFormat="false" ht="15.75" hidden="false" customHeight="false" outlineLevel="0" collapsed="false">
      <c r="A381" s="11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customFormat="false" ht="15.75" hidden="false" customHeight="false" outlineLevel="0" collapsed="false">
      <c r="A382" s="11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customFormat="false" ht="15.75" hidden="false" customHeight="false" outlineLevel="0" collapsed="false">
      <c r="A383" s="11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customFormat="false" ht="15.75" hidden="false" customHeight="false" outlineLevel="0" collapsed="false">
      <c r="A384" s="11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customFormat="false" ht="15.75" hidden="false" customHeight="false" outlineLevel="0" collapsed="false">
      <c r="A385" s="11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customFormat="false" ht="15.75" hidden="false" customHeight="false" outlineLevel="0" collapsed="false">
      <c r="A386" s="11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customFormat="false" ht="15.75" hidden="false" customHeight="false" outlineLevel="0" collapsed="false">
      <c r="A387" s="11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customFormat="false" ht="15.75" hidden="false" customHeight="false" outlineLevel="0" collapsed="false">
      <c r="A388" s="11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customFormat="false" ht="15.75" hidden="false" customHeight="false" outlineLevel="0" collapsed="false">
      <c r="A389" s="11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customFormat="false" ht="15.75" hidden="false" customHeight="false" outlineLevel="0" collapsed="false">
      <c r="A390" s="11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customFormat="false" ht="15.75" hidden="false" customHeight="false" outlineLevel="0" collapsed="false">
      <c r="A391" s="11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customFormat="false" ht="15.75" hidden="false" customHeight="false" outlineLevel="0" collapsed="false">
      <c r="A392" s="11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customFormat="false" ht="15.75" hidden="false" customHeight="false" outlineLevel="0" collapsed="false">
      <c r="A393" s="11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customFormat="false" ht="15.75" hidden="false" customHeight="false" outlineLevel="0" collapsed="false">
      <c r="A394" s="11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customFormat="false" ht="15.75" hidden="false" customHeight="false" outlineLevel="0" collapsed="false">
      <c r="A395" s="11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customFormat="false" ht="15.75" hidden="false" customHeight="false" outlineLevel="0" collapsed="false">
      <c r="A396" s="11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customFormat="false" ht="15.75" hidden="false" customHeight="false" outlineLevel="0" collapsed="false">
      <c r="A397" s="11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customFormat="false" ht="15.75" hidden="false" customHeight="false" outlineLevel="0" collapsed="false">
      <c r="A398" s="11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customFormat="false" ht="15.75" hidden="false" customHeight="false" outlineLevel="0" collapsed="false">
      <c r="A399" s="11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customFormat="false" ht="15.75" hidden="false" customHeight="false" outlineLevel="0" collapsed="false">
      <c r="A400" s="11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customFormat="false" ht="15.75" hidden="false" customHeight="false" outlineLevel="0" collapsed="false">
      <c r="A401" s="11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customFormat="false" ht="15.75" hidden="false" customHeight="false" outlineLevel="0" collapsed="false">
      <c r="A402" s="11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customFormat="false" ht="15.75" hidden="false" customHeight="false" outlineLevel="0" collapsed="false">
      <c r="A403" s="11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customFormat="false" ht="15.75" hidden="false" customHeight="false" outlineLevel="0" collapsed="false">
      <c r="A404" s="11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customFormat="false" ht="15.75" hidden="false" customHeight="false" outlineLevel="0" collapsed="false">
      <c r="A405" s="11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customFormat="false" ht="15.75" hidden="false" customHeight="false" outlineLevel="0" collapsed="false">
      <c r="A406" s="11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customFormat="false" ht="15.75" hidden="false" customHeight="false" outlineLevel="0" collapsed="false">
      <c r="A407" s="11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customFormat="false" ht="15.75" hidden="false" customHeight="false" outlineLevel="0" collapsed="false">
      <c r="A408" s="11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customFormat="false" ht="15.75" hidden="false" customHeight="false" outlineLevel="0" collapsed="false">
      <c r="A409" s="11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customFormat="false" ht="15.75" hidden="false" customHeight="false" outlineLevel="0" collapsed="false">
      <c r="A410" s="11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customFormat="false" ht="15.75" hidden="false" customHeight="false" outlineLevel="0" collapsed="false">
      <c r="A411" s="11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customFormat="false" ht="15.75" hidden="false" customHeight="false" outlineLevel="0" collapsed="false">
      <c r="A412" s="11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customFormat="false" ht="15.75" hidden="false" customHeight="false" outlineLevel="0" collapsed="false">
      <c r="A413" s="11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customFormat="false" ht="15.75" hidden="false" customHeight="false" outlineLevel="0" collapsed="false">
      <c r="A414" s="11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customFormat="false" ht="15.75" hidden="false" customHeight="false" outlineLevel="0" collapsed="false">
      <c r="A415" s="11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customFormat="false" ht="15.75" hidden="false" customHeight="false" outlineLevel="0" collapsed="false">
      <c r="A416" s="11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customFormat="false" ht="15.75" hidden="false" customHeight="false" outlineLevel="0" collapsed="false">
      <c r="A417" s="11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customFormat="false" ht="15.75" hidden="false" customHeight="false" outlineLevel="0" collapsed="false">
      <c r="A418" s="11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customFormat="false" ht="15.75" hidden="false" customHeight="false" outlineLevel="0" collapsed="false">
      <c r="A419" s="11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customFormat="false" ht="15.75" hidden="false" customHeight="false" outlineLevel="0" collapsed="false">
      <c r="A420" s="11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customFormat="false" ht="15.75" hidden="false" customHeight="false" outlineLevel="0" collapsed="false">
      <c r="A421" s="11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customFormat="false" ht="15.75" hidden="false" customHeight="false" outlineLevel="0" collapsed="false">
      <c r="A422" s="11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customFormat="false" ht="15.75" hidden="false" customHeight="false" outlineLevel="0" collapsed="false">
      <c r="A423" s="11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customFormat="false" ht="15.75" hidden="false" customHeight="false" outlineLevel="0" collapsed="false">
      <c r="A424" s="11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customFormat="false" ht="15.75" hidden="false" customHeight="false" outlineLevel="0" collapsed="false">
      <c r="A425" s="11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customFormat="false" ht="15.75" hidden="false" customHeight="false" outlineLevel="0" collapsed="false">
      <c r="A426" s="11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customFormat="false" ht="15.75" hidden="false" customHeight="false" outlineLevel="0" collapsed="false">
      <c r="A427" s="11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customFormat="false" ht="15.75" hidden="false" customHeight="false" outlineLevel="0" collapsed="false">
      <c r="A428" s="11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customFormat="false" ht="15.75" hidden="false" customHeight="false" outlineLevel="0" collapsed="false">
      <c r="A429" s="11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customFormat="false" ht="15.75" hidden="false" customHeight="false" outlineLevel="0" collapsed="false">
      <c r="A430" s="11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customFormat="false" ht="15.75" hidden="false" customHeight="false" outlineLevel="0" collapsed="false">
      <c r="A431" s="11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customFormat="false" ht="15.75" hidden="false" customHeight="false" outlineLevel="0" collapsed="false">
      <c r="A432" s="11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customFormat="false" ht="15.75" hidden="false" customHeight="false" outlineLevel="0" collapsed="false">
      <c r="A433" s="11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customFormat="false" ht="15.75" hidden="false" customHeight="false" outlineLevel="0" collapsed="false">
      <c r="A434" s="11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customFormat="false" ht="15.75" hidden="false" customHeight="false" outlineLevel="0" collapsed="false">
      <c r="A435" s="11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customFormat="false" ht="15.75" hidden="false" customHeight="false" outlineLevel="0" collapsed="false">
      <c r="A436" s="11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customFormat="false" ht="15.75" hidden="false" customHeight="false" outlineLevel="0" collapsed="false">
      <c r="A437" s="11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customFormat="false" ht="15.75" hidden="false" customHeight="false" outlineLevel="0" collapsed="false">
      <c r="A438" s="11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customFormat="false" ht="15.75" hidden="false" customHeight="false" outlineLevel="0" collapsed="false">
      <c r="A439" s="11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customFormat="false" ht="15.75" hidden="false" customHeight="false" outlineLevel="0" collapsed="false">
      <c r="A440" s="11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customFormat="false" ht="15.75" hidden="false" customHeight="false" outlineLevel="0" collapsed="false">
      <c r="A441" s="11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customFormat="false" ht="15.75" hidden="false" customHeight="false" outlineLevel="0" collapsed="false">
      <c r="A442" s="11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customFormat="false" ht="15.75" hidden="false" customHeight="false" outlineLevel="0" collapsed="false">
      <c r="A443" s="11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customFormat="false" ht="15.75" hidden="false" customHeight="false" outlineLevel="0" collapsed="false">
      <c r="A444" s="11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customFormat="false" ht="15.75" hidden="false" customHeight="false" outlineLevel="0" collapsed="false">
      <c r="A445" s="11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customFormat="false" ht="15.75" hidden="false" customHeight="false" outlineLevel="0" collapsed="false">
      <c r="A446" s="11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customFormat="false" ht="15.75" hidden="false" customHeight="false" outlineLevel="0" collapsed="false">
      <c r="A447" s="11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customFormat="false" ht="15.75" hidden="false" customHeight="false" outlineLevel="0" collapsed="false">
      <c r="A448" s="11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customFormat="false" ht="15.75" hidden="false" customHeight="false" outlineLevel="0" collapsed="false">
      <c r="A449" s="11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customFormat="false" ht="15.75" hidden="false" customHeight="false" outlineLevel="0" collapsed="false">
      <c r="A450" s="11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customFormat="false" ht="15.75" hidden="false" customHeight="false" outlineLevel="0" collapsed="false">
      <c r="A451" s="11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customFormat="false" ht="15.75" hidden="false" customHeight="false" outlineLevel="0" collapsed="false">
      <c r="A452" s="11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customFormat="false" ht="15.75" hidden="false" customHeight="false" outlineLevel="0" collapsed="false">
      <c r="A453" s="11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customFormat="false" ht="15.75" hidden="false" customHeight="false" outlineLevel="0" collapsed="false">
      <c r="A454" s="11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customFormat="false" ht="15.75" hidden="false" customHeight="false" outlineLevel="0" collapsed="false">
      <c r="A455" s="11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customFormat="false" ht="15.75" hidden="false" customHeight="false" outlineLevel="0" collapsed="false">
      <c r="A456" s="11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customFormat="false" ht="15.75" hidden="false" customHeight="false" outlineLevel="0" collapsed="false">
      <c r="A457" s="11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customFormat="false" ht="15.75" hidden="false" customHeight="false" outlineLevel="0" collapsed="false">
      <c r="A458" s="11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customFormat="false" ht="15.75" hidden="false" customHeight="false" outlineLevel="0" collapsed="false">
      <c r="A459" s="11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customFormat="false" ht="15.75" hidden="false" customHeight="false" outlineLevel="0" collapsed="false">
      <c r="A460" s="11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customFormat="false" ht="15.75" hidden="false" customHeight="false" outlineLevel="0" collapsed="false">
      <c r="A461" s="11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customFormat="false" ht="15.75" hidden="false" customHeight="false" outlineLevel="0" collapsed="false">
      <c r="A462" s="11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customFormat="false" ht="15.75" hidden="false" customHeight="false" outlineLevel="0" collapsed="false">
      <c r="A463" s="11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customFormat="false" ht="15.75" hidden="false" customHeight="false" outlineLevel="0" collapsed="false">
      <c r="A464" s="11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customFormat="false" ht="15.75" hidden="false" customHeight="false" outlineLevel="0" collapsed="false">
      <c r="A465" s="11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customFormat="false" ht="15.75" hidden="false" customHeight="false" outlineLevel="0" collapsed="false">
      <c r="A466" s="11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customFormat="false" ht="15.75" hidden="false" customHeight="false" outlineLevel="0" collapsed="false">
      <c r="A467" s="11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customFormat="false" ht="15.75" hidden="false" customHeight="false" outlineLevel="0" collapsed="false">
      <c r="A468" s="11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customFormat="false" ht="15.75" hidden="false" customHeight="false" outlineLevel="0" collapsed="false">
      <c r="A469" s="11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customFormat="false" ht="15.75" hidden="false" customHeight="false" outlineLevel="0" collapsed="false">
      <c r="A470" s="11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customFormat="false" ht="15.75" hidden="false" customHeight="false" outlineLevel="0" collapsed="false">
      <c r="A471" s="11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customFormat="false" ht="15.75" hidden="false" customHeight="false" outlineLevel="0" collapsed="false">
      <c r="A472" s="11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customFormat="false" ht="15.75" hidden="false" customHeight="false" outlineLevel="0" collapsed="false">
      <c r="A473" s="11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customFormat="false" ht="15.75" hidden="false" customHeight="false" outlineLevel="0" collapsed="false">
      <c r="A474" s="11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customFormat="false" ht="15.75" hidden="false" customHeight="false" outlineLevel="0" collapsed="false">
      <c r="A475" s="11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customFormat="false" ht="15.75" hidden="false" customHeight="false" outlineLevel="0" collapsed="false">
      <c r="A476" s="11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customFormat="false" ht="15.75" hidden="false" customHeight="false" outlineLevel="0" collapsed="false">
      <c r="A477" s="11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customFormat="false" ht="15.75" hidden="false" customHeight="false" outlineLevel="0" collapsed="false">
      <c r="A478" s="11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customFormat="false" ht="15.75" hidden="false" customHeight="false" outlineLevel="0" collapsed="false">
      <c r="A479" s="11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customFormat="false" ht="15.75" hidden="false" customHeight="false" outlineLevel="0" collapsed="false">
      <c r="A480" s="11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customFormat="false" ht="15.75" hidden="false" customHeight="false" outlineLevel="0" collapsed="false">
      <c r="A481" s="11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customFormat="false" ht="15.75" hidden="false" customHeight="false" outlineLevel="0" collapsed="false">
      <c r="A482" s="11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customFormat="false" ht="15.75" hidden="false" customHeight="false" outlineLevel="0" collapsed="false">
      <c r="A483" s="11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customFormat="false" ht="15.75" hidden="false" customHeight="false" outlineLevel="0" collapsed="false">
      <c r="A484" s="11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customFormat="false" ht="15.75" hidden="false" customHeight="false" outlineLevel="0" collapsed="false">
      <c r="A485" s="11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customFormat="false" ht="15.75" hidden="false" customHeight="false" outlineLevel="0" collapsed="false">
      <c r="A486" s="11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customFormat="false" ht="15.75" hidden="false" customHeight="false" outlineLevel="0" collapsed="false">
      <c r="A487" s="11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customFormat="false" ht="15.75" hidden="false" customHeight="false" outlineLevel="0" collapsed="false">
      <c r="A488" s="11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customFormat="false" ht="15.75" hidden="false" customHeight="false" outlineLevel="0" collapsed="false">
      <c r="A489" s="11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customFormat="false" ht="15.75" hidden="false" customHeight="false" outlineLevel="0" collapsed="false">
      <c r="A490" s="11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customFormat="false" ht="15.75" hidden="false" customHeight="false" outlineLevel="0" collapsed="false">
      <c r="A491" s="11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customFormat="false" ht="15.75" hidden="false" customHeight="false" outlineLevel="0" collapsed="false">
      <c r="A492" s="11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customFormat="false" ht="15.75" hidden="false" customHeight="false" outlineLevel="0" collapsed="false">
      <c r="A493" s="11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customFormat="false" ht="15.75" hidden="false" customHeight="false" outlineLevel="0" collapsed="false">
      <c r="A494" s="11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customFormat="false" ht="15.75" hidden="false" customHeight="false" outlineLevel="0" collapsed="false">
      <c r="A495" s="11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customFormat="false" ht="15.75" hidden="false" customHeight="false" outlineLevel="0" collapsed="false">
      <c r="A496" s="11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customFormat="false" ht="15.75" hidden="false" customHeight="false" outlineLevel="0" collapsed="false">
      <c r="A497" s="11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customFormat="false" ht="15.75" hidden="false" customHeight="false" outlineLevel="0" collapsed="false">
      <c r="A498" s="11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customFormat="false" ht="15.75" hidden="false" customHeight="false" outlineLevel="0" collapsed="false">
      <c r="A499" s="11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customFormat="false" ht="15.75" hidden="false" customHeight="false" outlineLevel="0" collapsed="false">
      <c r="A500" s="11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customFormat="false" ht="15.75" hidden="false" customHeight="false" outlineLevel="0" collapsed="false">
      <c r="A501" s="11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customFormat="false" ht="15.75" hidden="false" customHeight="false" outlineLevel="0" collapsed="false">
      <c r="A502" s="11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customFormat="false" ht="15.75" hidden="false" customHeight="false" outlineLevel="0" collapsed="false">
      <c r="A503" s="11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customFormat="false" ht="15.75" hidden="false" customHeight="false" outlineLevel="0" collapsed="false">
      <c r="A504" s="11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customFormat="false" ht="15.75" hidden="false" customHeight="false" outlineLevel="0" collapsed="false">
      <c r="A505" s="11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customFormat="false" ht="15.75" hidden="false" customHeight="false" outlineLevel="0" collapsed="false">
      <c r="A506" s="11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customFormat="false" ht="15.75" hidden="false" customHeight="false" outlineLevel="0" collapsed="false">
      <c r="A507" s="11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customFormat="false" ht="15.75" hidden="false" customHeight="false" outlineLevel="0" collapsed="false">
      <c r="A508" s="11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customFormat="false" ht="15.75" hidden="false" customHeight="false" outlineLevel="0" collapsed="false">
      <c r="A509" s="11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customFormat="false" ht="15.75" hidden="false" customHeight="false" outlineLevel="0" collapsed="false">
      <c r="A510" s="11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customFormat="false" ht="15.75" hidden="false" customHeight="false" outlineLevel="0" collapsed="false">
      <c r="A511" s="11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customFormat="false" ht="15.75" hidden="false" customHeight="false" outlineLevel="0" collapsed="false">
      <c r="A512" s="11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customFormat="false" ht="15.75" hidden="false" customHeight="false" outlineLevel="0" collapsed="false">
      <c r="A513" s="11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customFormat="false" ht="15.75" hidden="false" customHeight="false" outlineLevel="0" collapsed="false">
      <c r="A514" s="11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customFormat="false" ht="15.75" hidden="false" customHeight="false" outlineLevel="0" collapsed="false">
      <c r="A515" s="11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customFormat="false" ht="15.75" hidden="false" customHeight="false" outlineLevel="0" collapsed="false">
      <c r="A516" s="11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customFormat="false" ht="15.75" hidden="false" customHeight="false" outlineLevel="0" collapsed="false">
      <c r="A517" s="11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customFormat="false" ht="15.75" hidden="false" customHeight="false" outlineLevel="0" collapsed="false">
      <c r="A518" s="11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customFormat="false" ht="15.75" hidden="false" customHeight="false" outlineLevel="0" collapsed="false">
      <c r="A519" s="11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customFormat="false" ht="15.75" hidden="false" customHeight="false" outlineLevel="0" collapsed="false">
      <c r="A520" s="11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customFormat="false" ht="15.75" hidden="false" customHeight="false" outlineLevel="0" collapsed="false">
      <c r="A521" s="11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customFormat="false" ht="15.75" hidden="false" customHeight="false" outlineLevel="0" collapsed="false">
      <c r="A522" s="11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customFormat="false" ht="15.75" hidden="false" customHeight="false" outlineLevel="0" collapsed="false">
      <c r="A523" s="11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customFormat="false" ht="15.75" hidden="false" customHeight="false" outlineLevel="0" collapsed="false">
      <c r="A524" s="11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customFormat="false" ht="15.75" hidden="false" customHeight="false" outlineLevel="0" collapsed="false">
      <c r="A525" s="11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customFormat="false" ht="15.75" hidden="false" customHeight="false" outlineLevel="0" collapsed="false">
      <c r="A526" s="11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customFormat="false" ht="15.75" hidden="false" customHeight="false" outlineLevel="0" collapsed="false">
      <c r="A527" s="11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customFormat="false" ht="15.75" hidden="false" customHeight="false" outlineLevel="0" collapsed="false">
      <c r="A528" s="11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customFormat="false" ht="15.75" hidden="false" customHeight="false" outlineLevel="0" collapsed="false">
      <c r="A529" s="11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customFormat="false" ht="15.75" hidden="false" customHeight="false" outlineLevel="0" collapsed="false">
      <c r="A530" s="11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customFormat="false" ht="15.75" hidden="false" customHeight="false" outlineLevel="0" collapsed="false">
      <c r="A531" s="11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customFormat="false" ht="15.75" hidden="false" customHeight="false" outlineLevel="0" collapsed="false">
      <c r="A532" s="11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customFormat="false" ht="15.75" hidden="false" customHeight="false" outlineLevel="0" collapsed="false">
      <c r="A533" s="11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customFormat="false" ht="15.75" hidden="false" customHeight="false" outlineLevel="0" collapsed="false">
      <c r="A534" s="11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customFormat="false" ht="15.75" hidden="false" customHeight="false" outlineLevel="0" collapsed="false">
      <c r="A535" s="11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customFormat="false" ht="15.75" hidden="false" customHeight="false" outlineLevel="0" collapsed="false">
      <c r="A536" s="11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customFormat="false" ht="15.75" hidden="false" customHeight="false" outlineLevel="0" collapsed="false">
      <c r="A537" s="11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customFormat="false" ht="15.75" hidden="false" customHeight="false" outlineLevel="0" collapsed="false">
      <c r="A538" s="11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customFormat="false" ht="15.75" hidden="false" customHeight="false" outlineLevel="0" collapsed="false">
      <c r="A539" s="11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customFormat="false" ht="15.75" hidden="false" customHeight="false" outlineLevel="0" collapsed="false">
      <c r="A540" s="11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customFormat="false" ht="15.75" hidden="false" customHeight="false" outlineLevel="0" collapsed="false">
      <c r="A541" s="11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customFormat="false" ht="15.75" hidden="false" customHeight="false" outlineLevel="0" collapsed="false">
      <c r="A542" s="11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customFormat="false" ht="15.75" hidden="false" customHeight="false" outlineLevel="0" collapsed="false">
      <c r="A543" s="11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customFormat="false" ht="15.75" hidden="false" customHeight="false" outlineLevel="0" collapsed="false">
      <c r="A544" s="11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customFormat="false" ht="15.75" hidden="false" customHeight="false" outlineLevel="0" collapsed="false">
      <c r="A545" s="11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customFormat="false" ht="15.75" hidden="false" customHeight="false" outlineLevel="0" collapsed="false">
      <c r="A546" s="11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customFormat="false" ht="15.75" hidden="false" customHeight="false" outlineLevel="0" collapsed="false">
      <c r="A547" s="11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customFormat="false" ht="15.75" hidden="false" customHeight="false" outlineLevel="0" collapsed="false">
      <c r="A548" s="11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customFormat="false" ht="15.75" hidden="false" customHeight="false" outlineLevel="0" collapsed="false">
      <c r="A549" s="11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customFormat="false" ht="15.75" hidden="false" customHeight="false" outlineLevel="0" collapsed="false">
      <c r="A550" s="11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customFormat="false" ht="15.75" hidden="false" customHeight="false" outlineLevel="0" collapsed="false">
      <c r="A551" s="11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customFormat="false" ht="15.75" hidden="false" customHeight="false" outlineLevel="0" collapsed="false">
      <c r="A552" s="11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customFormat="false" ht="15.75" hidden="false" customHeight="false" outlineLevel="0" collapsed="false">
      <c r="A553" s="11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customFormat="false" ht="15.75" hidden="false" customHeight="false" outlineLevel="0" collapsed="false">
      <c r="A554" s="11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customFormat="false" ht="15.75" hidden="false" customHeight="false" outlineLevel="0" collapsed="false">
      <c r="A555" s="11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customFormat="false" ht="15.75" hidden="false" customHeight="false" outlineLevel="0" collapsed="false">
      <c r="A556" s="11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customFormat="false" ht="15.75" hidden="false" customHeight="false" outlineLevel="0" collapsed="false">
      <c r="A557" s="11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customFormat="false" ht="15.75" hidden="false" customHeight="false" outlineLevel="0" collapsed="false">
      <c r="A558" s="11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customFormat="false" ht="15.75" hidden="false" customHeight="false" outlineLevel="0" collapsed="false">
      <c r="A559" s="11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customFormat="false" ht="15.75" hidden="false" customHeight="false" outlineLevel="0" collapsed="false">
      <c r="A560" s="11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customFormat="false" ht="15.75" hidden="false" customHeight="false" outlineLevel="0" collapsed="false">
      <c r="A561" s="11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customFormat="false" ht="15.75" hidden="false" customHeight="false" outlineLevel="0" collapsed="false">
      <c r="A562" s="11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customFormat="false" ht="15.75" hidden="false" customHeight="false" outlineLevel="0" collapsed="false">
      <c r="A563" s="11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customFormat="false" ht="15.75" hidden="false" customHeight="false" outlineLevel="0" collapsed="false">
      <c r="A564" s="11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customFormat="false" ht="15.75" hidden="false" customHeight="false" outlineLevel="0" collapsed="false">
      <c r="A565" s="11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customFormat="false" ht="15.75" hidden="false" customHeight="false" outlineLevel="0" collapsed="false">
      <c r="A566" s="11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customFormat="false" ht="15.75" hidden="false" customHeight="false" outlineLevel="0" collapsed="false">
      <c r="A567" s="11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customFormat="false" ht="15.75" hidden="false" customHeight="false" outlineLevel="0" collapsed="false">
      <c r="A568" s="11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customFormat="false" ht="15.75" hidden="false" customHeight="false" outlineLevel="0" collapsed="false">
      <c r="A569" s="11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customFormat="false" ht="15.75" hidden="false" customHeight="false" outlineLevel="0" collapsed="false">
      <c r="A570" s="11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customFormat="false" ht="15.75" hidden="false" customHeight="false" outlineLevel="0" collapsed="false">
      <c r="A571" s="11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customFormat="false" ht="15.75" hidden="false" customHeight="false" outlineLevel="0" collapsed="false">
      <c r="A572" s="11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customFormat="false" ht="15.75" hidden="false" customHeight="false" outlineLevel="0" collapsed="false">
      <c r="A573" s="11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customFormat="false" ht="15.75" hidden="false" customHeight="false" outlineLevel="0" collapsed="false">
      <c r="A574" s="11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customFormat="false" ht="15.75" hidden="false" customHeight="false" outlineLevel="0" collapsed="false">
      <c r="A575" s="11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customFormat="false" ht="15.75" hidden="false" customHeight="false" outlineLevel="0" collapsed="false">
      <c r="A576" s="11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customFormat="false" ht="15.75" hidden="false" customHeight="false" outlineLevel="0" collapsed="false">
      <c r="A577" s="11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customFormat="false" ht="15.75" hidden="false" customHeight="false" outlineLevel="0" collapsed="false">
      <c r="A578" s="11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customFormat="false" ht="15.75" hidden="false" customHeight="false" outlineLevel="0" collapsed="false">
      <c r="A579" s="11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customFormat="false" ht="15.75" hidden="false" customHeight="false" outlineLevel="0" collapsed="false">
      <c r="A580" s="11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customFormat="false" ht="15.75" hidden="false" customHeight="false" outlineLevel="0" collapsed="false">
      <c r="A581" s="11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customFormat="false" ht="15.75" hidden="false" customHeight="false" outlineLevel="0" collapsed="false">
      <c r="A582" s="11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customFormat="false" ht="15.75" hidden="false" customHeight="false" outlineLevel="0" collapsed="false">
      <c r="A583" s="11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customFormat="false" ht="15.75" hidden="false" customHeight="false" outlineLevel="0" collapsed="false">
      <c r="A584" s="11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customFormat="false" ht="15.75" hidden="false" customHeight="false" outlineLevel="0" collapsed="false">
      <c r="A585" s="11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customFormat="false" ht="15.75" hidden="false" customHeight="false" outlineLevel="0" collapsed="false">
      <c r="A586" s="11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customFormat="false" ht="15.75" hidden="false" customHeight="false" outlineLevel="0" collapsed="false">
      <c r="A587" s="11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customFormat="false" ht="15.75" hidden="false" customHeight="false" outlineLevel="0" collapsed="false">
      <c r="A588" s="11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customFormat="false" ht="15.75" hidden="false" customHeight="false" outlineLevel="0" collapsed="false">
      <c r="A589" s="11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customFormat="false" ht="15.75" hidden="false" customHeight="false" outlineLevel="0" collapsed="false">
      <c r="A590" s="11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customFormat="false" ht="15.75" hidden="false" customHeight="false" outlineLevel="0" collapsed="false">
      <c r="A591" s="11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customFormat="false" ht="15.75" hidden="false" customHeight="false" outlineLevel="0" collapsed="false">
      <c r="A592" s="11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customFormat="false" ht="15.75" hidden="false" customHeight="false" outlineLevel="0" collapsed="false">
      <c r="A593" s="11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customFormat="false" ht="15.75" hidden="false" customHeight="false" outlineLevel="0" collapsed="false">
      <c r="A594" s="11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customFormat="false" ht="15.75" hidden="false" customHeight="false" outlineLevel="0" collapsed="false">
      <c r="A595" s="11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customFormat="false" ht="15.75" hidden="false" customHeight="false" outlineLevel="0" collapsed="false">
      <c r="A596" s="11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customFormat="false" ht="15.75" hidden="false" customHeight="false" outlineLevel="0" collapsed="false">
      <c r="A597" s="11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customFormat="false" ht="15.75" hidden="false" customHeight="false" outlineLevel="0" collapsed="false">
      <c r="A598" s="11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customFormat="false" ht="15.75" hidden="false" customHeight="false" outlineLevel="0" collapsed="false">
      <c r="A599" s="11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customFormat="false" ht="15.75" hidden="false" customHeight="false" outlineLevel="0" collapsed="false">
      <c r="A600" s="11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customFormat="false" ht="15.75" hidden="false" customHeight="false" outlineLevel="0" collapsed="false">
      <c r="A601" s="11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customFormat="false" ht="15.75" hidden="false" customHeight="false" outlineLevel="0" collapsed="false">
      <c r="A602" s="11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customFormat="false" ht="15.75" hidden="false" customHeight="false" outlineLevel="0" collapsed="false">
      <c r="A603" s="11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customFormat="false" ht="15.75" hidden="false" customHeight="false" outlineLevel="0" collapsed="false">
      <c r="A604" s="11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customFormat="false" ht="15.75" hidden="false" customHeight="false" outlineLevel="0" collapsed="false">
      <c r="A605" s="11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customFormat="false" ht="15.75" hidden="false" customHeight="false" outlineLevel="0" collapsed="false">
      <c r="A606" s="11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customFormat="false" ht="15.75" hidden="false" customHeight="false" outlineLevel="0" collapsed="false">
      <c r="A607" s="11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customFormat="false" ht="15.75" hidden="false" customHeight="false" outlineLevel="0" collapsed="false">
      <c r="A608" s="11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customFormat="false" ht="15.75" hidden="false" customHeight="false" outlineLevel="0" collapsed="false">
      <c r="A609" s="11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customFormat="false" ht="15.75" hidden="false" customHeight="false" outlineLevel="0" collapsed="false">
      <c r="A610" s="11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customFormat="false" ht="15.75" hidden="false" customHeight="false" outlineLevel="0" collapsed="false">
      <c r="A611" s="11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customFormat="false" ht="15.75" hidden="false" customHeight="false" outlineLevel="0" collapsed="false">
      <c r="A612" s="11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customFormat="false" ht="15.75" hidden="false" customHeight="false" outlineLevel="0" collapsed="false">
      <c r="A613" s="11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customFormat="false" ht="15.75" hidden="false" customHeight="false" outlineLevel="0" collapsed="false">
      <c r="A614" s="11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customFormat="false" ht="15.75" hidden="false" customHeight="false" outlineLevel="0" collapsed="false">
      <c r="A615" s="11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customFormat="false" ht="15.75" hidden="false" customHeight="false" outlineLevel="0" collapsed="false">
      <c r="A616" s="11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customFormat="false" ht="15.75" hidden="false" customHeight="false" outlineLevel="0" collapsed="false">
      <c r="A617" s="11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customFormat="false" ht="15.75" hidden="false" customHeight="false" outlineLevel="0" collapsed="false">
      <c r="A618" s="11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customFormat="false" ht="15.75" hidden="false" customHeight="false" outlineLevel="0" collapsed="false">
      <c r="A619" s="11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customFormat="false" ht="15.75" hidden="false" customHeight="false" outlineLevel="0" collapsed="false">
      <c r="A620" s="11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customFormat="false" ht="15.75" hidden="false" customHeight="false" outlineLevel="0" collapsed="false">
      <c r="A621" s="11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customFormat="false" ht="15.75" hidden="false" customHeight="false" outlineLevel="0" collapsed="false">
      <c r="A622" s="11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customFormat="false" ht="15.75" hidden="false" customHeight="false" outlineLevel="0" collapsed="false">
      <c r="A623" s="11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customFormat="false" ht="15.75" hidden="false" customHeight="false" outlineLevel="0" collapsed="false">
      <c r="A624" s="11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customFormat="false" ht="15.75" hidden="false" customHeight="false" outlineLevel="0" collapsed="false">
      <c r="A625" s="11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customFormat="false" ht="15.75" hidden="false" customHeight="false" outlineLevel="0" collapsed="false">
      <c r="A626" s="11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customFormat="false" ht="15.75" hidden="false" customHeight="false" outlineLevel="0" collapsed="false">
      <c r="A627" s="11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customFormat="false" ht="15.75" hidden="false" customHeight="false" outlineLevel="0" collapsed="false">
      <c r="A628" s="11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customFormat="false" ht="15.75" hidden="false" customHeight="false" outlineLevel="0" collapsed="false">
      <c r="A629" s="11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customFormat="false" ht="15.75" hidden="false" customHeight="false" outlineLevel="0" collapsed="false">
      <c r="A630" s="11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customFormat="false" ht="15.75" hidden="false" customHeight="false" outlineLevel="0" collapsed="false">
      <c r="A631" s="11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customFormat="false" ht="15.75" hidden="false" customHeight="false" outlineLevel="0" collapsed="false">
      <c r="A632" s="11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customFormat="false" ht="15.75" hidden="false" customHeight="false" outlineLevel="0" collapsed="false">
      <c r="A633" s="11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customFormat="false" ht="15.75" hidden="false" customHeight="false" outlineLevel="0" collapsed="false">
      <c r="A634" s="11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customFormat="false" ht="15.75" hidden="false" customHeight="false" outlineLevel="0" collapsed="false">
      <c r="A635" s="11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customFormat="false" ht="15.75" hidden="false" customHeight="false" outlineLevel="0" collapsed="false">
      <c r="A636" s="11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customFormat="false" ht="15.75" hidden="false" customHeight="false" outlineLevel="0" collapsed="false">
      <c r="A637" s="11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customFormat="false" ht="15.75" hidden="false" customHeight="false" outlineLevel="0" collapsed="false">
      <c r="A638" s="11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customFormat="false" ht="15.75" hidden="false" customHeight="false" outlineLevel="0" collapsed="false">
      <c r="A639" s="11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customFormat="false" ht="15.75" hidden="false" customHeight="false" outlineLevel="0" collapsed="false">
      <c r="A640" s="11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customFormat="false" ht="15.75" hidden="false" customHeight="false" outlineLevel="0" collapsed="false">
      <c r="A641" s="11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customFormat="false" ht="15.75" hidden="false" customHeight="false" outlineLevel="0" collapsed="false">
      <c r="A642" s="11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customFormat="false" ht="15.75" hidden="false" customHeight="false" outlineLevel="0" collapsed="false">
      <c r="A643" s="11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customFormat="false" ht="15.75" hidden="false" customHeight="false" outlineLevel="0" collapsed="false">
      <c r="A644" s="11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customFormat="false" ht="15.75" hidden="false" customHeight="false" outlineLevel="0" collapsed="false">
      <c r="A645" s="11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customFormat="false" ht="15.75" hidden="false" customHeight="false" outlineLevel="0" collapsed="false">
      <c r="A646" s="11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customFormat="false" ht="15.75" hidden="false" customHeight="false" outlineLevel="0" collapsed="false">
      <c r="A647" s="11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customFormat="false" ht="15.75" hidden="false" customHeight="false" outlineLevel="0" collapsed="false">
      <c r="A648" s="11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customFormat="false" ht="15.75" hidden="false" customHeight="false" outlineLevel="0" collapsed="false">
      <c r="A649" s="11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customFormat="false" ht="15.75" hidden="false" customHeight="false" outlineLevel="0" collapsed="false">
      <c r="A650" s="11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customFormat="false" ht="15.75" hidden="false" customHeight="false" outlineLevel="0" collapsed="false">
      <c r="A651" s="11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customFormat="false" ht="15.75" hidden="false" customHeight="false" outlineLevel="0" collapsed="false">
      <c r="A652" s="11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customFormat="false" ht="15.75" hidden="false" customHeight="false" outlineLevel="0" collapsed="false">
      <c r="A653" s="11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customFormat="false" ht="15.75" hidden="false" customHeight="false" outlineLevel="0" collapsed="false">
      <c r="A654" s="11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customFormat="false" ht="15.75" hidden="false" customHeight="false" outlineLevel="0" collapsed="false">
      <c r="A655" s="11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customFormat="false" ht="15.75" hidden="false" customHeight="false" outlineLevel="0" collapsed="false">
      <c r="A656" s="11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customFormat="false" ht="15.75" hidden="false" customHeight="false" outlineLevel="0" collapsed="false">
      <c r="A657" s="11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customFormat="false" ht="15.75" hidden="false" customHeight="false" outlineLevel="0" collapsed="false">
      <c r="A658" s="11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customFormat="false" ht="15.75" hidden="false" customHeight="false" outlineLevel="0" collapsed="false">
      <c r="A659" s="11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customFormat="false" ht="15.75" hidden="false" customHeight="false" outlineLevel="0" collapsed="false">
      <c r="A660" s="11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customFormat="false" ht="15.75" hidden="false" customHeight="false" outlineLevel="0" collapsed="false">
      <c r="A661" s="11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customFormat="false" ht="15.75" hidden="false" customHeight="false" outlineLevel="0" collapsed="false">
      <c r="A662" s="11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customFormat="false" ht="15.75" hidden="false" customHeight="false" outlineLevel="0" collapsed="false">
      <c r="A663" s="11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customFormat="false" ht="15.75" hidden="false" customHeight="false" outlineLevel="0" collapsed="false">
      <c r="A664" s="11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customFormat="false" ht="15.75" hidden="false" customHeight="false" outlineLevel="0" collapsed="false">
      <c r="A665" s="11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customFormat="false" ht="15.75" hidden="false" customHeight="false" outlineLevel="0" collapsed="false">
      <c r="A666" s="11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customFormat="false" ht="15.75" hidden="false" customHeight="false" outlineLevel="0" collapsed="false">
      <c r="A667" s="11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customFormat="false" ht="15.75" hidden="false" customHeight="false" outlineLevel="0" collapsed="false">
      <c r="A668" s="11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customFormat="false" ht="15.75" hidden="false" customHeight="false" outlineLevel="0" collapsed="false">
      <c r="A669" s="11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customFormat="false" ht="15.75" hidden="false" customHeight="false" outlineLevel="0" collapsed="false">
      <c r="A670" s="11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customFormat="false" ht="15.75" hidden="false" customHeight="false" outlineLevel="0" collapsed="false">
      <c r="A671" s="11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customFormat="false" ht="15.75" hidden="false" customHeight="false" outlineLevel="0" collapsed="false">
      <c r="A672" s="11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customFormat="false" ht="15.75" hidden="false" customHeight="false" outlineLevel="0" collapsed="false">
      <c r="A673" s="11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customFormat="false" ht="15.75" hidden="false" customHeight="false" outlineLevel="0" collapsed="false">
      <c r="A674" s="11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customFormat="false" ht="15.75" hidden="false" customHeight="false" outlineLevel="0" collapsed="false">
      <c r="A675" s="11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customFormat="false" ht="15.75" hidden="false" customHeight="false" outlineLevel="0" collapsed="false">
      <c r="A676" s="11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customFormat="false" ht="15.75" hidden="false" customHeight="false" outlineLevel="0" collapsed="false">
      <c r="A677" s="11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customFormat="false" ht="15.75" hidden="false" customHeight="false" outlineLevel="0" collapsed="false">
      <c r="A678" s="11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customFormat="false" ht="15.75" hidden="false" customHeight="false" outlineLevel="0" collapsed="false">
      <c r="A679" s="11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customFormat="false" ht="15.75" hidden="false" customHeight="false" outlineLevel="0" collapsed="false">
      <c r="A680" s="11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customFormat="false" ht="15.75" hidden="false" customHeight="false" outlineLevel="0" collapsed="false">
      <c r="A681" s="11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customFormat="false" ht="15.75" hidden="false" customHeight="false" outlineLevel="0" collapsed="false">
      <c r="A682" s="11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customFormat="false" ht="15.75" hidden="false" customHeight="false" outlineLevel="0" collapsed="false">
      <c r="A683" s="11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customFormat="false" ht="15.75" hidden="false" customHeight="false" outlineLevel="0" collapsed="false">
      <c r="A684" s="11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customFormat="false" ht="15.75" hidden="false" customHeight="false" outlineLevel="0" collapsed="false">
      <c r="A685" s="11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customFormat="false" ht="15.75" hidden="false" customHeight="false" outlineLevel="0" collapsed="false">
      <c r="A686" s="11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customFormat="false" ht="15.75" hidden="false" customHeight="false" outlineLevel="0" collapsed="false">
      <c r="A687" s="11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customFormat="false" ht="15.75" hidden="false" customHeight="false" outlineLevel="0" collapsed="false">
      <c r="A688" s="11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customFormat="false" ht="15.75" hidden="false" customHeight="false" outlineLevel="0" collapsed="false">
      <c r="A689" s="11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customFormat="false" ht="15.75" hidden="false" customHeight="false" outlineLevel="0" collapsed="false">
      <c r="A690" s="11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customFormat="false" ht="15.75" hidden="false" customHeight="false" outlineLevel="0" collapsed="false">
      <c r="A691" s="11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customFormat="false" ht="15.75" hidden="false" customHeight="false" outlineLevel="0" collapsed="false">
      <c r="A692" s="11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customFormat="false" ht="15.75" hidden="false" customHeight="false" outlineLevel="0" collapsed="false">
      <c r="A693" s="11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customFormat="false" ht="15.75" hidden="false" customHeight="false" outlineLevel="0" collapsed="false">
      <c r="A694" s="11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customFormat="false" ht="15.75" hidden="false" customHeight="false" outlineLevel="0" collapsed="false">
      <c r="A695" s="11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customFormat="false" ht="15.75" hidden="false" customHeight="false" outlineLevel="0" collapsed="false">
      <c r="A696" s="11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customFormat="false" ht="15.75" hidden="false" customHeight="false" outlineLevel="0" collapsed="false">
      <c r="A697" s="11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customFormat="false" ht="15.75" hidden="false" customHeight="false" outlineLevel="0" collapsed="false">
      <c r="A698" s="11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customFormat="false" ht="15.75" hidden="false" customHeight="false" outlineLevel="0" collapsed="false">
      <c r="A699" s="11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customFormat="false" ht="15.75" hidden="false" customHeight="false" outlineLevel="0" collapsed="false">
      <c r="A700" s="11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customFormat="false" ht="15.75" hidden="false" customHeight="false" outlineLevel="0" collapsed="false">
      <c r="A701" s="11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customFormat="false" ht="15.75" hidden="false" customHeight="false" outlineLevel="0" collapsed="false">
      <c r="A702" s="11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customFormat="false" ht="15.75" hidden="false" customHeight="false" outlineLevel="0" collapsed="false">
      <c r="A703" s="11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customFormat="false" ht="15.75" hidden="false" customHeight="false" outlineLevel="0" collapsed="false">
      <c r="A704" s="11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customFormat="false" ht="15.75" hidden="false" customHeight="false" outlineLevel="0" collapsed="false">
      <c r="A705" s="11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customFormat="false" ht="15.75" hidden="false" customHeight="false" outlineLevel="0" collapsed="false">
      <c r="A706" s="11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customFormat="false" ht="15.75" hidden="false" customHeight="false" outlineLevel="0" collapsed="false">
      <c r="A707" s="11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customFormat="false" ht="15.75" hidden="false" customHeight="false" outlineLevel="0" collapsed="false">
      <c r="A708" s="11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customFormat="false" ht="15.75" hidden="false" customHeight="false" outlineLevel="0" collapsed="false">
      <c r="A709" s="11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customFormat="false" ht="15.75" hidden="false" customHeight="false" outlineLevel="0" collapsed="false">
      <c r="A710" s="11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customFormat="false" ht="15.75" hidden="false" customHeight="false" outlineLevel="0" collapsed="false">
      <c r="A711" s="11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customFormat="false" ht="15.75" hidden="false" customHeight="false" outlineLevel="0" collapsed="false">
      <c r="A712" s="11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customFormat="false" ht="15.75" hidden="false" customHeight="false" outlineLevel="0" collapsed="false">
      <c r="A713" s="11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customFormat="false" ht="15.75" hidden="false" customHeight="false" outlineLevel="0" collapsed="false">
      <c r="A714" s="11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customFormat="false" ht="15.75" hidden="false" customHeight="false" outlineLevel="0" collapsed="false">
      <c r="A715" s="11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customFormat="false" ht="15.75" hidden="false" customHeight="false" outlineLevel="0" collapsed="false">
      <c r="A716" s="11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customFormat="false" ht="15.75" hidden="false" customHeight="false" outlineLevel="0" collapsed="false">
      <c r="A717" s="11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customFormat="false" ht="15.75" hidden="false" customHeight="false" outlineLevel="0" collapsed="false">
      <c r="A718" s="11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customFormat="false" ht="15.75" hidden="false" customHeight="false" outlineLevel="0" collapsed="false">
      <c r="A719" s="11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customFormat="false" ht="15.75" hidden="false" customHeight="false" outlineLevel="0" collapsed="false">
      <c r="A720" s="11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customFormat="false" ht="15.75" hidden="false" customHeight="false" outlineLevel="0" collapsed="false">
      <c r="A721" s="11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customFormat="false" ht="15.75" hidden="false" customHeight="false" outlineLevel="0" collapsed="false">
      <c r="A722" s="11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customFormat="false" ht="15.75" hidden="false" customHeight="false" outlineLevel="0" collapsed="false">
      <c r="A723" s="11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customFormat="false" ht="15.75" hidden="false" customHeight="false" outlineLevel="0" collapsed="false">
      <c r="A724" s="11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customFormat="false" ht="15.75" hidden="false" customHeight="false" outlineLevel="0" collapsed="false">
      <c r="A725" s="11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customFormat="false" ht="15.75" hidden="false" customHeight="false" outlineLevel="0" collapsed="false">
      <c r="A726" s="11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customFormat="false" ht="15.75" hidden="false" customHeight="false" outlineLevel="0" collapsed="false">
      <c r="A727" s="11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customFormat="false" ht="15.75" hidden="false" customHeight="false" outlineLevel="0" collapsed="false">
      <c r="A728" s="11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customFormat="false" ht="15.75" hidden="false" customHeight="false" outlineLevel="0" collapsed="false">
      <c r="A729" s="11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customFormat="false" ht="15.75" hidden="false" customHeight="false" outlineLevel="0" collapsed="false">
      <c r="A730" s="11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customFormat="false" ht="15.75" hidden="false" customHeight="false" outlineLevel="0" collapsed="false">
      <c r="A731" s="11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customFormat="false" ht="15.75" hidden="false" customHeight="false" outlineLevel="0" collapsed="false">
      <c r="A732" s="11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customFormat="false" ht="15.75" hidden="false" customHeight="false" outlineLevel="0" collapsed="false">
      <c r="A733" s="11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customFormat="false" ht="15.75" hidden="false" customHeight="false" outlineLevel="0" collapsed="false">
      <c r="A734" s="11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customFormat="false" ht="15.75" hidden="false" customHeight="false" outlineLevel="0" collapsed="false">
      <c r="A735" s="11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customFormat="false" ht="15.75" hidden="false" customHeight="false" outlineLevel="0" collapsed="false">
      <c r="A736" s="11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customFormat="false" ht="15.75" hidden="false" customHeight="false" outlineLevel="0" collapsed="false">
      <c r="A737" s="11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customFormat="false" ht="15.75" hidden="false" customHeight="false" outlineLevel="0" collapsed="false">
      <c r="A738" s="11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customFormat="false" ht="15.75" hidden="false" customHeight="false" outlineLevel="0" collapsed="false">
      <c r="A739" s="11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customFormat="false" ht="15.75" hidden="false" customHeight="false" outlineLevel="0" collapsed="false">
      <c r="A740" s="11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customFormat="false" ht="15.75" hidden="false" customHeight="false" outlineLevel="0" collapsed="false">
      <c r="A741" s="11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customFormat="false" ht="15.75" hidden="false" customHeight="false" outlineLevel="0" collapsed="false">
      <c r="A742" s="11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customFormat="false" ht="15.75" hidden="false" customHeight="false" outlineLevel="0" collapsed="false">
      <c r="A743" s="11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customFormat="false" ht="15.75" hidden="false" customHeight="false" outlineLevel="0" collapsed="false">
      <c r="A744" s="11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customFormat="false" ht="15.75" hidden="false" customHeight="false" outlineLevel="0" collapsed="false">
      <c r="A745" s="11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customFormat="false" ht="15.75" hidden="false" customHeight="false" outlineLevel="0" collapsed="false">
      <c r="A746" s="11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customFormat="false" ht="15.75" hidden="false" customHeight="false" outlineLevel="0" collapsed="false">
      <c r="A747" s="11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customFormat="false" ht="15.75" hidden="false" customHeight="false" outlineLevel="0" collapsed="false">
      <c r="A748" s="11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customFormat="false" ht="15.75" hidden="false" customHeight="false" outlineLevel="0" collapsed="false">
      <c r="A749" s="11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customFormat="false" ht="15.75" hidden="false" customHeight="false" outlineLevel="0" collapsed="false">
      <c r="A750" s="11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customFormat="false" ht="15.75" hidden="false" customHeight="false" outlineLevel="0" collapsed="false">
      <c r="A751" s="11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customFormat="false" ht="15.75" hidden="false" customHeight="false" outlineLevel="0" collapsed="false">
      <c r="A752" s="11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customFormat="false" ht="15.75" hidden="false" customHeight="false" outlineLevel="0" collapsed="false">
      <c r="A753" s="11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customFormat="false" ht="15.75" hidden="false" customHeight="false" outlineLevel="0" collapsed="false">
      <c r="A754" s="11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customFormat="false" ht="15.75" hidden="false" customHeight="false" outlineLevel="0" collapsed="false">
      <c r="A755" s="11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customFormat="false" ht="15.75" hidden="false" customHeight="false" outlineLevel="0" collapsed="false">
      <c r="A756" s="11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customFormat="false" ht="15.75" hidden="false" customHeight="false" outlineLevel="0" collapsed="false">
      <c r="A757" s="11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customFormat="false" ht="15.75" hidden="false" customHeight="false" outlineLevel="0" collapsed="false">
      <c r="A758" s="11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customFormat="false" ht="15.75" hidden="false" customHeight="false" outlineLevel="0" collapsed="false">
      <c r="A759" s="11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customFormat="false" ht="15.75" hidden="false" customHeight="false" outlineLevel="0" collapsed="false">
      <c r="A760" s="11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customFormat="false" ht="15.75" hidden="false" customHeight="false" outlineLevel="0" collapsed="false">
      <c r="A761" s="11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customFormat="false" ht="15.75" hidden="false" customHeight="false" outlineLevel="0" collapsed="false">
      <c r="A762" s="11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customFormat="false" ht="15.75" hidden="false" customHeight="false" outlineLevel="0" collapsed="false">
      <c r="A763" s="11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customFormat="false" ht="15.75" hidden="false" customHeight="false" outlineLevel="0" collapsed="false">
      <c r="A764" s="11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customFormat="false" ht="15.75" hidden="false" customHeight="false" outlineLevel="0" collapsed="false">
      <c r="A765" s="11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customFormat="false" ht="15.75" hidden="false" customHeight="false" outlineLevel="0" collapsed="false">
      <c r="A766" s="11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customFormat="false" ht="15.75" hidden="false" customHeight="false" outlineLevel="0" collapsed="false">
      <c r="A767" s="11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customFormat="false" ht="15.75" hidden="false" customHeight="false" outlineLevel="0" collapsed="false">
      <c r="A768" s="11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customFormat="false" ht="15.75" hidden="false" customHeight="false" outlineLevel="0" collapsed="false">
      <c r="A769" s="11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customFormat="false" ht="15.75" hidden="false" customHeight="false" outlineLevel="0" collapsed="false">
      <c r="A770" s="11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customFormat="false" ht="15.75" hidden="false" customHeight="false" outlineLevel="0" collapsed="false">
      <c r="A771" s="11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customFormat="false" ht="15.75" hidden="false" customHeight="false" outlineLevel="0" collapsed="false">
      <c r="A772" s="11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customFormat="false" ht="15.75" hidden="false" customHeight="false" outlineLevel="0" collapsed="false">
      <c r="A773" s="11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customFormat="false" ht="15.75" hidden="false" customHeight="false" outlineLevel="0" collapsed="false">
      <c r="A774" s="11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customFormat="false" ht="15.75" hidden="false" customHeight="false" outlineLevel="0" collapsed="false">
      <c r="A775" s="11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customFormat="false" ht="15.75" hidden="false" customHeight="false" outlineLevel="0" collapsed="false">
      <c r="A776" s="11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customFormat="false" ht="15.75" hidden="false" customHeight="false" outlineLevel="0" collapsed="false">
      <c r="A777" s="11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customFormat="false" ht="15.75" hidden="false" customHeight="false" outlineLevel="0" collapsed="false">
      <c r="A778" s="11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customFormat="false" ht="15.75" hidden="false" customHeight="false" outlineLevel="0" collapsed="false">
      <c r="A779" s="11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customFormat="false" ht="15.75" hidden="false" customHeight="false" outlineLevel="0" collapsed="false">
      <c r="A780" s="11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customFormat="false" ht="15.75" hidden="false" customHeight="false" outlineLevel="0" collapsed="false">
      <c r="A781" s="11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customFormat="false" ht="15.75" hidden="false" customHeight="false" outlineLevel="0" collapsed="false">
      <c r="A782" s="11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customFormat="false" ht="15.75" hidden="false" customHeight="false" outlineLevel="0" collapsed="false">
      <c r="A783" s="11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customFormat="false" ht="15.75" hidden="false" customHeight="false" outlineLevel="0" collapsed="false">
      <c r="A784" s="11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customFormat="false" ht="15.75" hidden="false" customHeight="false" outlineLevel="0" collapsed="false">
      <c r="A785" s="11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customFormat="false" ht="15.75" hidden="false" customHeight="false" outlineLevel="0" collapsed="false">
      <c r="A786" s="11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customFormat="false" ht="15.75" hidden="false" customHeight="false" outlineLevel="0" collapsed="false">
      <c r="A787" s="11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customFormat="false" ht="15.75" hidden="false" customHeight="false" outlineLevel="0" collapsed="false">
      <c r="A788" s="11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customFormat="false" ht="15.75" hidden="false" customHeight="false" outlineLevel="0" collapsed="false">
      <c r="A789" s="11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customFormat="false" ht="15.75" hidden="false" customHeight="false" outlineLevel="0" collapsed="false">
      <c r="A790" s="11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customFormat="false" ht="15.75" hidden="false" customHeight="false" outlineLevel="0" collapsed="false">
      <c r="A791" s="11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customFormat="false" ht="15.75" hidden="false" customHeight="false" outlineLevel="0" collapsed="false">
      <c r="A792" s="11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customFormat="false" ht="15.75" hidden="false" customHeight="false" outlineLevel="0" collapsed="false">
      <c r="A793" s="11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customFormat="false" ht="15.75" hidden="false" customHeight="false" outlineLevel="0" collapsed="false">
      <c r="A794" s="11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customFormat="false" ht="15.75" hidden="false" customHeight="false" outlineLevel="0" collapsed="false">
      <c r="A795" s="11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customFormat="false" ht="15.75" hidden="false" customHeight="false" outlineLevel="0" collapsed="false">
      <c r="A796" s="11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customFormat="false" ht="15.75" hidden="false" customHeight="false" outlineLevel="0" collapsed="false">
      <c r="A797" s="11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customFormat="false" ht="15.75" hidden="false" customHeight="false" outlineLevel="0" collapsed="false">
      <c r="A798" s="11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customFormat="false" ht="15.75" hidden="false" customHeight="false" outlineLevel="0" collapsed="false">
      <c r="A799" s="11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customFormat="false" ht="15.75" hidden="false" customHeight="false" outlineLevel="0" collapsed="false">
      <c r="A800" s="11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customFormat="false" ht="15.75" hidden="false" customHeight="false" outlineLevel="0" collapsed="false">
      <c r="A801" s="11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customFormat="false" ht="15.75" hidden="false" customHeight="false" outlineLevel="0" collapsed="false">
      <c r="A802" s="11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customFormat="false" ht="15.75" hidden="false" customHeight="false" outlineLevel="0" collapsed="false">
      <c r="A803" s="11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customFormat="false" ht="15.75" hidden="false" customHeight="false" outlineLevel="0" collapsed="false">
      <c r="A804" s="11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customFormat="false" ht="15.75" hidden="false" customHeight="false" outlineLevel="0" collapsed="false">
      <c r="A805" s="11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customFormat="false" ht="15.75" hidden="false" customHeight="false" outlineLevel="0" collapsed="false">
      <c r="A806" s="11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customFormat="false" ht="15.75" hidden="false" customHeight="false" outlineLevel="0" collapsed="false">
      <c r="A807" s="11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customFormat="false" ht="15.75" hidden="false" customHeight="false" outlineLevel="0" collapsed="false">
      <c r="A808" s="11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customFormat="false" ht="15.75" hidden="false" customHeight="false" outlineLevel="0" collapsed="false">
      <c r="A809" s="11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customFormat="false" ht="15.75" hidden="false" customHeight="false" outlineLevel="0" collapsed="false">
      <c r="A810" s="11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customFormat="false" ht="15.75" hidden="false" customHeight="false" outlineLevel="0" collapsed="false">
      <c r="A811" s="11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customFormat="false" ht="15.75" hidden="false" customHeight="false" outlineLevel="0" collapsed="false">
      <c r="A812" s="11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customFormat="false" ht="15.75" hidden="false" customHeight="false" outlineLevel="0" collapsed="false">
      <c r="A813" s="11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customFormat="false" ht="15.75" hidden="false" customHeight="false" outlineLevel="0" collapsed="false">
      <c r="A814" s="11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customFormat="false" ht="15.75" hidden="false" customHeight="false" outlineLevel="0" collapsed="false">
      <c r="A815" s="11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customFormat="false" ht="15.75" hidden="false" customHeight="false" outlineLevel="0" collapsed="false">
      <c r="A816" s="11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customFormat="false" ht="15.75" hidden="false" customHeight="false" outlineLevel="0" collapsed="false">
      <c r="A817" s="11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customFormat="false" ht="15.75" hidden="false" customHeight="false" outlineLevel="0" collapsed="false">
      <c r="A818" s="11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customFormat="false" ht="15.75" hidden="false" customHeight="false" outlineLevel="0" collapsed="false">
      <c r="A819" s="11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customFormat="false" ht="15.75" hidden="false" customHeight="false" outlineLevel="0" collapsed="false">
      <c r="A820" s="11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customFormat="false" ht="15.75" hidden="false" customHeight="false" outlineLevel="0" collapsed="false">
      <c r="A821" s="11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customFormat="false" ht="15.75" hidden="false" customHeight="false" outlineLevel="0" collapsed="false">
      <c r="A822" s="11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customFormat="false" ht="15.75" hidden="false" customHeight="false" outlineLevel="0" collapsed="false">
      <c r="A823" s="11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customFormat="false" ht="15.75" hidden="false" customHeight="false" outlineLevel="0" collapsed="false">
      <c r="A824" s="11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customFormat="false" ht="15.75" hidden="false" customHeight="false" outlineLevel="0" collapsed="false">
      <c r="A825" s="11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customFormat="false" ht="15.75" hidden="false" customHeight="false" outlineLevel="0" collapsed="false">
      <c r="A826" s="11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customFormat="false" ht="15.75" hidden="false" customHeight="false" outlineLevel="0" collapsed="false">
      <c r="A827" s="11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customFormat="false" ht="15.75" hidden="false" customHeight="false" outlineLevel="0" collapsed="false">
      <c r="A828" s="11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customFormat="false" ht="15.75" hidden="false" customHeight="false" outlineLevel="0" collapsed="false">
      <c r="A829" s="11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customFormat="false" ht="15.75" hidden="false" customHeight="false" outlineLevel="0" collapsed="false">
      <c r="A830" s="11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customFormat="false" ht="15.75" hidden="false" customHeight="false" outlineLevel="0" collapsed="false">
      <c r="A831" s="11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customFormat="false" ht="15.75" hidden="false" customHeight="false" outlineLevel="0" collapsed="false">
      <c r="A832" s="11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customFormat="false" ht="15.75" hidden="false" customHeight="false" outlineLevel="0" collapsed="false">
      <c r="A833" s="11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customFormat="false" ht="15.75" hidden="false" customHeight="false" outlineLevel="0" collapsed="false">
      <c r="A834" s="11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customFormat="false" ht="15.75" hidden="false" customHeight="false" outlineLevel="0" collapsed="false">
      <c r="A835" s="11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customFormat="false" ht="15.75" hidden="false" customHeight="false" outlineLevel="0" collapsed="false">
      <c r="A836" s="11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customFormat="false" ht="15.75" hidden="false" customHeight="false" outlineLevel="0" collapsed="false">
      <c r="A837" s="11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customFormat="false" ht="15.75" hidden="false" customHeight="false" outlineLevel="0" collapsed="false">
      <c r="A838" s="11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customFormat="false" ht="15.75" hidden="false" customHeight="false" outlineLevel="0" collapsed="false">
      <c r="A839" s="11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customFormat="false" ht="15.75" hidden="false" customHeight="false" outlineLevel="0" collapsed="false">
      <c r="A840" s="11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customFormat="false" ht="15.75" hidden="false" customHeight="false" outlineLevel="0" collapsed="false">
      <c r="A841" s="11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customFormat="false" ht="15.75" hidden="false" customHeight="false" outlineLevel="0" collapsed="false">
      <c r="A842" s="11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customFormat="false" ht="15.75" hidden="false" customHeight="false" outlineLevel="0" collapsed="false">
      <c r="A843" s="11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customFormat="false" ht="15.75" hidden="false" customHeight="false" outlineLevel="0" collapsed="false">
      <c r="A844" s="11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customFormat="false" ht="15.75" hidden="false" customHeight="false" outlineLevel="0" collapsed="false">
      <c r="A845" s="11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customFormat="false" ht="15.75" hidden="false" customHeight="false" outlineLevel="0" collapsed="false">
      <c r="A846" s="11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customFormat="false" ht="15.75" hidden="false" customHeight="false" outlineLevel="0" collapsed="false">
      <c r="A847" s="11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customFormat="false" ht="15.75" hidden="false" customHeight="false" outlineLevel="0" collapsed="false">
      <c r="A848" s="11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customFormat="false" ht="15.75" hidden="false" customHeight="false" outlineLevel="0" collapsed="false">
      <c r="A849" s="11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customFormat="false" ht="15.75" hidden="false" customHeight="false" outlineLevel="0" collapsed="false">
      <c r="A850" s="11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customFormat="false" ht="15.75" hidden="false" customHeight="false" outlineLevel="0" collapsed="false">
      <c r="A851" s="11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customFormat="false" ht="15.75" hidden="false" customHeight="false" outlineLevel="0" collapsed="false">
      <c r="A852" s="11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customFormat="false" ht="15.75" hidden="false" customHeight="false" outlineLevel="0" collapsed="false">
      <c r="A853" s="11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customFormat="false" ht="15.75" hidden="false" customHeight="false" outlineLevel="0" collapsed="false">
      <c r="A854" s="11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customFormat="false" ht="15.75" hidden="false" customHeight="false" outlineLevel="0" collapsed="false">
      <c r="A855" s="11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customFormat="false" ht="15.75" hidden="false" customHeight="false" outlineLevel="0" collapsed="false">
      <c r="A856" s="11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customFormat="false" ht="15.75" hidden="false" customHeight="false" outlineLevel="0" collapsed="false">
      <c r="A857" s="11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customFormat="false" ht="15.75" hidden="false" customHeight="false" outlineLevel="0" collapsed="false">
      <c r="A858" s="11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customFormat="false" ht="15.75" hidden="false" customHeight="false" outlineLevel="0" collapsed="false">
      <c r="A859" s="11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customFormat="false" ht="15.75" hidden="false" customHeight="false" outlineLevel="0" collapsed="false">
      <c r="A860" s="11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customFormat="false" ht="15.75" hidden="false" customHeight="false" outlineLevel="0" collapsed="false">
      <c r="A861" s="11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customFormat="false" ht="15.75" hidden="false" customHeight="false" outlineLevel="0" collapsed="false">
      <c r="A862" s="11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customFormat="false" ht="15.75" hidden="false" customHeight="false" outlineLevel="0" collapsed="false">
      <c r="A863" s="11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customFormat="false" ht="15.75" hidden="false" customHeight="false" outlineLevel="0" collapsed="false">
      <c r="A864" s="11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customFormat="false" ht="15.75" hidden="false" customHeight="false" outlineLevel="0" collapsed="false">
      <c r="A865" s="11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customFormat="false" ht="15.75" hidden="false" customHeight="false" outlineLevel="0" collapsed="false">
      <c r="A866" s="11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customFormat="false" ht="15.75" hidden="false" customHeight="false" outlineLevel="0" collapsed="false">
      <c r="A867" s="11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customFormat="false" ht="15.75" hidden="false" customHeight="false" outlineLevel="0" collapsed="false">
      <c r="A868" s="11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customFormat="false" ht="15.75" hidden="false" customHeight="false" outlineLevel="0" collapsed="false">
      <c r="A869" s="11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customFormat="false" ht="15.75" hidden="false" customHeight="false" outlineLevel="0" collapsed="false">
      <c r="A870" s="11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customFormat="false" ht="15.75" hidden="false" customHeight="false" outlineLevel="0" collapsed="false">
      <c r="A871" s="11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customFormat="false" ht="15.75" hidden="false" customHeight="false" outlineLevel="0" collapsed="false">
      <c r="A872" s="11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customFormat="false" ht="15.75" hidden="false" customHeight="false" outlineLevel="0" collapsed="false">
      <c r="A873" s="11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customFormat="false" ht="15.75" hidden="false" customHeight="false" outlineLevel="0" collapsed="false">
      <c r="A874" s="11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customFormat="false" ht="15.75" hidden="false" customHeight="false" outlineLevel="0" collapsed="false">
      <c r="A875" s="11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customFormat="false" ht="15.75" hidden="false" customHeight="false" outlineLevel="0" collapsed="false">
      <c r="A876" s="11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customFormat="false" ht="15.75" hidden="false" customHeight="false" outlineLevel="0" collapsed="false">
      <c r="A877" s="11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customFormat="false" ht="15.75" hidden="false" customHeight="false" outlineLevel="0" collapsed="false">
      <c r="A878" s="11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customFormat="false" ht="15.75" hidden="false" customHeight="false" outlineLevel="0" collapsed="false">
      <c r="A879" s="11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customFormat="false" ht="15.75" hidden="false" customHeight="false" outlineLevel="0" collapsed="false">
      <c r="A880" s="11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customFormat="false" ht="15.75" hidden="false" customHeight="false" outlineLevel="0" collapsed="false">
      <c r="A881" s="11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customFormat="false" ht="15.75" hidden="false" customHeight="false" outlineLevel="0" collapsed="false">
      <c r="A882" s="11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customFormat="false" ht="15.75" hidden="false" customHeight="false" outlineLevel="0" collapsed="false">
      <c r="A883" s="11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customFormat="false" ht="15.75" hidden="false" customHeight="false" outlineLevel="0" collapsed="false">
      <c r="A884" s="11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customFormat="false" ht="15.75" hidden="false" customHeight="false" outlineLevel="0" collapsed="false">
      <c r="A885" s="11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customFormat="false" ht="15.75" hidden="false" customHeight="false" outlineLevel="0" collapsed="false">
      <c r="A886" s="11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customFormat="false" ht="15.75" hidden="false" customHeight="false" outlineLevel="0" collapsed="false">
      <c r="A887" s="11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customFormat="false" ht="15.75" hidden="false" customHeight="false" outlineLevel="0" collapsed="false">
      <c r="A888" s="11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customFormat="false" ht="15.75" hidden="false" customHeight="false" outlineLevel="0" collapsed="false">
      <c r="A889" s="11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customFormat="false" ht="15.75" hidden="false" customHeight="false" outlineLevel="0" collapsed="false">
      <c r="A890" s="11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customFormat="false" ht="15.75" hidden="false" customHeight="false" outlineLevel="0" collapsed="false">
      <c r="A891" s="11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customFormat="false" ht="15.75" hidden="false" customHeight="false" outlineLevel="0" collapsed="false">
      <c r="A892" s="11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customFormat="false" ht="15.75" hidden="false" customHeight="false" outlineLevel="0" collapsed="false">
      <c r="A893" s="11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customFormat="false" ht="15.75" hidden="false" customHeight="false" outlineLevel="0" collapsed="false">
      <c r="A894" s="11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customFormat="false" ht="15.75" hidden="false" customHeight="false" outlineLevel="0" collapsed="false">
      <c r="A895" s="11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customFormat="false" ht="15.75" hidden="false" customHeight="false" outlineLevel="0" collapsed="false">
      <c r="A896" s="11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customFormat="false" ht="15.75" hidden="false" customHeight="false" outlineLevel="0" collapsed="false">
      <c r="A897" s="11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customFormat="false" ht="15.75" hidden="false" customHeight="false" outlineLevel="0" collapsed="false">
      <c r="A898" s="11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customFormat="false" ht="15.75" hidden="false" customHeight="false" outlineLevel="0" collapsed="false">
      <c r="A899" s="11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customFormat="false" ht="15.75" hidden="false" customHeight="false" outlineLevel="0" collapsed="false">
      <c r="A900" s="11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customFormat="false" ht="15.75" hidden="false" customHeight="false" outlineLevel="0" collapsed="false">
      <c r="A901" s="11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customFormat="false" ht="15.75" hidden="false" customHeight="false" outlineLevel="0" collapsed="false">
      <c r="A902" s="11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customFormat="false" ht="15.75" hidden="false" customHeight="false" outlineLevel="0" collapsed="false">
      <c r="A903" s="11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customFormat="false" ht="15.75" hidden="false" customHeight="false" outlineLevel="0" collapsed="false">
      <c r="A904" s="11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customFormat="false" ht="15.75" hidden="false" customHeight="false" outlineLevel="0" collapsed="false">
      <c r="A905" s="11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customFormat="false" ht="15.75" hidden="false" customHeight="false" outlineLevel="0" collapsed="false">
      <c r="A906" s="11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customFormat="false" ht="15.75" hidden="false" customHeight="false" outlineLevel="0" collapsed="false">
      <c r="A907" s="11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customFormat="false" ht="15.75" hidden="false" customHeight="false" outlineLevel="0" collapsed="false">
      <c r="A908" s="11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customFormat="false" ht="15.75" hidden="false" customHeight="false" outlineLevel="0" collapsed="false">
      <c r="A909" s="11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customFormat="false" ht="15.75" hidden="false" customHeight="false" outlineLevel="0" collapsed="false">
      <c r="A910" s="11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customFormat="false" ht="15.75" hidden="false" customHeight="false" outlineLevel="0" collapsed="false">
      <c r="A911" s="11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customFormat="false" ht="15.75" hidden="false" customHeight="false" outlineLevel="0" collapsed="false">
      <c r="A912" s="11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customFormat="false" ht="15.75" hidden="false" customHeight="false" outlineLevel="0" collapsed="false">
      <c r="A913" s="11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customFormat="false" ht="15.75" hidden="false" customHeight="false" outlineLevel="0" collapsed="false">
      <c r="A914" s="11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customFormat="false" ht="15.75" hidden="false" customHeight="false" outlineLevel="0" collapsed="false">
      <c r="A915" s="11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customFormat="false" ht="15.75" hidden="false" customHeight="false" outlineLevel="0" collapsed="false">
      <c r="A916" s="11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customFormat="false" ht="15.75" hidden="false" customHeight="false" outlineLevel="0" collapsed="false">
      <c r="A917" s="11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customFormat="false" ht="15.75" hidden="false" customHeight="false" outlineLevel="0" collapsed="false">
      <c r="A918" s="11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customFormat="false" ht="15.75" hidden="false" customHeight="false" outlineLevel="0" collapsed="false">
      <c r="A919" s="11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customFormat="false" ht="15.75" hidden="false" customHeight="false" outlineLevel="0" collapsed="false">
      <c r="A920" s="11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customFormat="false" ht="15.75" hidden="false" customHeight="false" outlineLevel="0" collapsed="false">
      <c r="A921" s="11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GI63:GI64 A2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" min="1" style="0" width="18.38"/>
    <col collapsed="false" customWidth="true" hidden="false" outlineLevel="0" max="2" min="2" style="0" width="31"/>
    <col collapsed="false" customWidth="true" hidden="false" outlineLevel="0" max="3" min="3" style="0" width="21.5"/>
    <col collapsed="false" customWidth="true" hidden="false" outlineLevel="0" max="4" min="4" style="0" width="75.88"/>
  </cols>
  <sheetData>
    <row r="1" customFormat="false" ht="15.75" hidden="false" customHeight="false" outlineLevel="0" collapsed="false">
      <c r="A1" s="52" t="s">
        <v>30</v>
      </c>
      <c r="B1" s="52" t="s">
        <v>2318</v>
      </c>
      <c r="C1" s="52" t="s">
        <v>2319</v>
      </c>
      <c r="D1" s="52" t="s">
        <v>2320</v>
      </c>
    </row>
    <row r="2" customFormat="false" ht="15.75" hidden="false" customHeight="false" outlineLevel="0" collapsed="false">
      <c r="A2" s="53"/>
      <c r="B2" s="9"/>
      <c r="C2" s="9"/>
      <c r="D2" s="9"/>
    </row>
    <row r="3" customFormat="false" ht="15.75" hidden="false" customHeight="false" outlineLevel="0" collapsed="false">
      <c r="A3" s="53"/>
      <c r="B3" s="9"/>
      <c r="C3" s="9"/>
      <c r="D3" s="9"/>
    </row>
    <row r="4" customFormat="false" ht="15.75" hidden="false" customHeight="false" outlineLevel="0" collapsed="false">
      <c r="A4" s="53"/>
      <c r="B4" s="9"/>
      <c r="C4" s="9"/>
      <c r="D4" s="9"/>
    </row>
    <row r="5" customFormat="false" ht="15.75" hidden="false" customHeight="false" outlineLevel="0" collapsed="false">
      <c r="A5" s="53"/>
      <c r="B5" s="9"/>
      <c r="C5" s="9"/>
      <c r="D5" s="9"/>
    </row>
    <row r="6" customFormat="false" ht="15.75" hidden="false" customHeight="false" outlineLevel="0" collapsed="false">
      <c r="A6" s="53"/>
      <c r="B6" s="9"/>
      <c r="C6" s="9"/>
      <c r="D6" s="9"/>
    </row>
    <row r="7" customFormat="false" ht="15.75" hidden="false" customHeight="false" outlineLevel="0" collapsed="false">
      <c r="A7" s="53"/>
      <c r="B7" s="9"/>
      <c r="C7" s="9"/>
      <c r="D7" s="9"/>
    </row>
    <row r="8" customFormat="false" ht="15.75" hidden="false" customHeight="false" outlineLevel="0" collapsed="false">
      <c r="A8" s="53"/>
      <c r="B8" s="9"/>
      <c r="C8" s="9"/>
      <c r="D8" s="9"/>
    </row>
    <row r="9" customFormat="false" ht="15.75" hidden="false" customHeight="false" outlineLevel="0" collapsed="false">
      <c r="A9" s="53"/>
      <c r="B9" s="9"/>
      <c r="C9" s="9"/>
      <c r="D9" s="9"/>
    </row>
    <row r="10" customFormat="false" ht="15.75" hidden="false" customHeight="false" outlineLevel="0" collapsed="false">
      <c r="A10" s="53"/>
      <c r="B10" s="9"/>
      <c r="C10" s="9"/>
      <c r="D10" s="9"/>
    </row>
    <row r="11" customFormat="false" ht="15.75" hidden="false" customHeight="false" outlineLevel="0" collapsed="false">
      <c r="A11" s="53"/>
      <c r="B11" s="9"/>
      <c r="C11" s="9"/>
      <c r="D11" s="9"/>
    </row>
    <row r="12" customFormat="false" ht="15.75" hidden="false" customHeight="false" outlineLevel="0" collapsed="false">
      <c r="A12" s="53"/>
      <c r="B12" s="9"/>
      <c r="C12" s="9"/>
      <c r="D12" s="9"/>
    </row>
    <row r="13" customFormat="false" ht="15.75" hidden="false" customHeight="false" outlineLevel="0" collapsed="false">
      <c r="A13" s="53"/>
      <c r="B13" s="9"/>
      <c r="C13" s="9"/>
      <c r="D13" s="9"/>
    </row>
    <row r="14" customFormat="false" ht="15.75" hidden="false" customHeight="false" outlineLevel="0" collapsed="false">
      <c r="A14" s="53"/>
      <c r="B14" s="9"/>
      <c r="C14" s="9"/>
      <c r="D14" s="9"/>
    </row>
    <row r="15" customFormat="false" ht="15.75" hidden="false" customHeight="false" outlineLevel="0" collapsed="false">
      <c r="A15" s="53"/>
      <c r="B15" s="9"/>
      <c r="C15" s="9"/>
      <c r="D15" s="9"/>
    </row>
    <row r="16" customFormat="false" ht="15.75" hidden="false" customHeight="false" outlineLevel="0" collapsed="false">
      <c r="A16" s="53"/>
      <c r="B16" s="9"/>
      <c r="C16" s="9"/>
      <c r="D16" s="9"/>
    </row>
    <row r="17" customFormat="false" ht="15.75" hidden="false" customHeight="false" outlineLevel="0" collapsed="false">
      <c r="A17" s="53"/>
      <c r="B17" s="9"/>
      <c r="C17" s="9"/>
      <c r="D17" s="9"/>
    </row>
    <row r="18" customFormat="false" ht="15.75" hidden="false" customHeight="false" outlineLevel="0" collapsed="false">
      <c r="A18" s="53"/>
      <c r="B18" s="9"/>
      <c r="C18" s="9"/>
      <c r="D18" s="9"/>
    </row>
    <row r="19" customFormat="false" ht="15.75" hidden="false" customHeight="false" outlineLevel="0" collapsed="false">
      <c r="A19" s="53"/>
      <c r="B19" s="9"/>
      <c r="C19" s="9"/>
      <c r="D19" s="9"/>
    </row>
    <row r="20" customFormat="false" ht="15.75" hidden="false" customHeight="false" outlineLevel="0" collapsed="false">
      <c r="A20" s="53"/>
      <c r="B20" s="9"/>
      <c r="C20" s="9"/>
      <c r="D20" s="9"/>
    </row>
    <row r="21" customFormat="false" ht="15.75" hidden="false" customHeight="false" outlineLevel="0" collapsed="false">
      <c r="A21" s="53"/>
      <c r="B21" s="9"/>
      <c r="C21" s="9"/>
      <c r="D21" s="9"/>
    </row>
    <row r="22" customFormat="false" ht="15.75" hidden="false" customHeight="false" outlineLevel="0" collapsed="false">
      <c r="A22" s="53"/>
      <c r="B22" s="9"/>
      <c r="C22" s="9"/>
      <c r="D22" s="9"/>
    </row>
    <row r="23" customFormat="false" ht="15.75" hidden="false" customHeight="false" outlineLevel="0" collapsed="false">
      <c r="A23" s="53"/>
      <c r="B23" s="9"/>
      <c r="C23" s="9"/>
      <c r="D23" s="9"/>
    </row>
    <row r="24" customFormat="false" ht="15.75" hidden="false" customHeight="false" outlineLevel="0" collapsed="false">
      <c r="A24" s="53"/>
      <c r="B24" s="9"/>
      <c r="C24" s="9"/>
      <c r="D24" s="9"/>
    </row>
    <row r="25" customFormat="false" ht="15.75" hidden="false" customHeight="false" outlineLevel="0" collapsed="false">
      <c r="A25" s="53"/>
      <c r="B25" s="9"/>
      <c r="C25" s="9"/>
      <c r="D25" s="9"/>
    </row>
    <row r="26" customFormat="false" ht="15.75" hidden="false" customHeight="false" outlineLevel="0" collapsed="false">
      <c r="A26" s="53"/>
      <c r="B26" s="9"/>
      <c r="C26" s="9"/>
      <c r="D26" s="9"/>
    </row>
    <row r="27" customFormat="false" ht="15.75" hidden="false" customHeight="false" outlineLevel="0" collapsed="false">
      <c r="A27" s="53"/>
      <c r="B27" s="9"/>
      <c r="C27" s="9"/>
      <c r="D27" s="9"/>
    </row>
    <row r="28" customFormat="false" ht="15.75" hidden="false" customHeight="false" outlineLevel="0" collapsed="false">
      <c r="A28" s="53"/>
      <c r="B28" s="9"/>
      <c r="C28" s="9"/>
      <c r="D28" s="9"/>
    </row>
    <row r="29" customFormat="false" ht="15.75" hidden="false" customHeight="false" outlineLevel="0" collapsed="false">
      <c r="A29" s="53"/>
      <c r="B29" s="9"/>
      <c r="C29" s="9"/>
      <c r="D29" s="9"/>
    </row>
    <row r="30" customFormat="false" ht="15.75" hidden="false" customHeight="false" outlineLevel="0" collapsed="false">
      <c r="A30" s="53"/>
      <c r="B30" s="9"/>
      <c r="C30" s="9"/>
      <c r="D30" s="9"/>
    </row>
    <row r="31" customFormat="false" ht="15.75" hidden="false" customHeight="false" outlineLevel="0" collapsed="false">
      <c r="A31" s="53"/>
      <c r="B31" s="9"/>
      <c r="C31" s="9"/>
      <c r="D31" s="9"/>
    </row>
    <row r="32" customFormat="false" ht="15.75" hidden="false" customHeight="false" outlineLevel="0" collapsed="false">
      <c r="A32" s="53"/>
      <c r="B32" s="9"/>
      <c r="C32" s="9"/>
      <c r="D32" s="9"/>
    </row>
    <row r="33" customFormat="false" ht="15.75" hidden="false" customHeight="false" outlineLevel="0" collapsed="false">
      <c r="A33" s="53"/>
      <c r="B33" s="9"/>
      <c r="C33" s="9"/>
      <c r="D33" s="9"/>
    </row>
    <row r="34" customFormat="false" ht="15.75" hidden="false" customHeight="false" outlineLevel="0" collapsed="false">
      <c r="A34" s="53"/>
      <c r="B34" s="9"/>
      <c r="C34" s="9"/>
      <c r="D34" s="9"/>
    </row>
    <row r="35" customFormat="false" ht="15.75" hidden="false" customHeight="false" outlineLevel="0" collapsed="false">
      <c r="A35" s="53"/>
      <c r="B35" s="9"/>
      <c r="C35" s="9"/>
      <c r="D35" s="9"/>
    </row>
    <row r="36" customFormat="false" ht="15.75" hidden="false" customHeight="false" outlineLevel="0" collapsed="false">
      <c r="A36" s="53"/>
      <c r="B36" s="9"/>
      <c r="C36" s="9"/>
      <c r="D36" s="9"/>
    </row>
    <row r="37" customFormat="false" ht="15.75" hidden="false" customHeight="false" outlineLevel="0" collapsed="false">
      <c r="A37" s="53"/>
      <c r="B37" s="9"/>
      <c r="C37" s="9"/>
      <c r="D37" s="9"/>
    </row>
    <row r="38" customFormat="false" ht="15.75" hidden="false" customHeight="false" outlineLevel="0" collapsed="false">
      <c r="A38" s="53"/>
      <c r="B38" s="9"/>
      <c r="C38" s="9"/>
      <c r="D38" s="9"/>
    </row>
    <row r="39" customFormat="false" ht="15.75" hidden="false" customHeight="false" outlineLevel="0" collapsed="false">
      <c r="A39" s="53"/>
      <c r="B39" s="9"/>
      <c r="C39" s="9"/>
      <c r="D39" s="9"/>
    </row>
    <row r="40" customFormat="false" ht="15.75" hidden="false" customHeight="false" outlineLevel="0" collapsed="false">
      <c r="A40" s="53"/>
      <c r="B40" s="9"/>
      <c r="C40" s="9"/>
      <c r="D40" s="9"/>
    </row>
    <row r="41" customFormat="false" ht="15.75" hidden="false" customHeight="false" outlineLevel="0" collapsed="false">
      <c r="A41" s="53"/>
      <c r="B41" s="9"/>
      <c r="C41" s="9"/>
      <c r="D41" s="9"/>
    </row>
    <row r="42" customFormat="false" ht="15.75" hidden="false" customHeight="false" outlineLevel="0" collapsed="false">
      <c r="A42" s="53"/>
      <c r="B42" s="9"/>
      <c r="C42" s="9"/>
      <c r="D42" s="9"/>
    </row>
    <row r="43" customFormat="false" ht="15.75" hidden="false" customHeight="false" outlineLevel="0" collapsed="false">
      <c r="A43" s="53"/>
      <c r="B43" s="9"/>
      <c r="C43" s="9"/>
      <c r="D43" s="9"/>
    </row>
    <row r="44" customFormat="false" ht="15.75" hidden="false" customHeight="false" outlineLevel="0" collapsed="false">
      <c r="A44" s="53"/>
      <c r="B44" s="9"/>
      <c r="C44" s="9"/>
      <c r="D44" s="9"/>
    </row>
    <row r="45" customFormat="false" ht="15.75" hidden="false" customHeight="false" outlineLevel="0" collapsed="false">
      <c r="A45" s="53"/>
      <c r="B45" s="9"/>
      <c r="C45" s="9"/>
      <c r="D45" s="9"/>
    </row>
    <row r="46" customFormat="false" ht="15.75" hidden="false" customHeight="false" outlineLevel="0" collapsed="false">
      <c r="A46" s="53"/>
      <c r="B46" s="9"/>
      <c r="C46" s="9"/>
      <c r="D46" s="9"/>
    </row>
    <row r="47" customFormat="false" ht="15.75" hidden="false" customHeight="false" outlineLevel="0" collapsed="false">
      <c r="A47" s="53"/>
      <c r="B47" s="9"/>
      <c r="C47" s="9"/>
      <c r="D47" s="9"/>
    </row>
    <row r="48" customFormat="false" ht="15.75" hidden="false" customHeight="false" outlineLevel="0" collapsed="false">
      <c r="A48" s="53"/>
      <c r="B48" s="9"/>
      <c r="C48" s="9"/>
      <c r="D48" s="9"/>
    </row>
    <row r="49" customFormat="false" ht="15.75" hidden="false" customHeight="false" outlineLevel="0" collapsed="false">
      <c r="A49" s="53"/>
      <c r="B49" s="9"/>
      <c r="C49" s="9"/>
      <c r="D49" s="9"/>
    </row>
    <row r="50" customFormat="false" ht="15.75" hidden="false" customHeight="false" outlineLevel="0" collapsed="false">
      <c r="A50" s="53"/>
      <c r="B50" s="9"/>
      <c r="C50" s="9"/>
      <c r="D50" s="9"/>
    </row>
    <row r="51" customFormat="false" ht="15.75" hidden="false" customHeight="false" outlineLevel="0" collapsed="false">
      <c r="A51" s="53"/>
      <c r="B51" s="9"/>
      <c r="C51" s="9"/>
      <c r="D51" s="9"/>
    </row>
    <row r="52" customFormat="false" ht="15.75" hidden="false" customHeight="false" outlineLevel="0" collapsed="false">
      <c r="A52" s="53"/>
      <c r="B52" s="9"/>
      <c r="C52" s="9"/>
      <c r="D52" s="9"/>
    </row>
    <row r="53" customFormat="false" ht="15.75" hidden="false" customHeight="false" outlineLevel="0" collapsed="false">
      <c r="A53" s="53"/>
      <c r="B53" s="9"/>
      <c r="C53" s="9"/>
      <c r="D53" s="9"/>
    </row>
    <row r="54" customFormat="false" ht="15.75" hidden="false" customHeight="false" outlineLevel="0" collapsed="false">
      <c r="A54" s="53"/>
      <c r="B54" s="9"/>
      <c r="C54" s="9"/>
      <c r="D54" s="9"/>
    </row>
    <row r="55" customFormat="false" ht="15.75" hidden="false" customHeight="false" outlineLevel="0" collapsed="false">
      <c r="A55" s="53"/>
      <c r="B55" s="9"/>
      <c r="C55" s="9"/>
      <c r="D55" s="9"/>
    </row>
    <row r="56" customFormat="false" ht="15.75" hidden="false" customHeight="false" outlineLevel="0" collapsed="false">
      <c r="A56" s="53"/>
      <c r="B56" s="9"/>
      <c r="C56" s="9"/>
      <c r="D56" s="9"/>
    </row>
    <row r="57" customFormat="false" ht="15.75" hidden="false" customHeight="false" outlineLevel="0" collapsed="false">
      <c r="A57" s="53"/>
      <c r="B57" s="9"/>
      <c r="C57" s="9"/>
      <c r="D57" s="9"/>
    </row>
    <row r="58" customFormat="false" ht="15.75" hidden="false" customHeight="false" outlineLevel="0" collapsed="false">
      <c r="A58" s="53"/>
      <c r="B58" s="9"/>
      <c r="C58" s="9"/>
      <c r="D58" s="9"/>
    </row>
    <row r="59" customFormat="false" ht="15.75" hidden="false" customHeight="false" outlineLevel="0" collapsed="false">
      <c r="A59" s="53"/>
      <c r="B59" s="9"/>
      <c r="C59" s="9"/>
      <c r="D59" s="9"/>
    </row>
    <row r="60" customFormat="false" ht="15.75" hidden="false" customHeight="false" outlineLevel="0" collapsed="false">
      <c r="A60" s="53"/>
      <c r="B60" s="9"/>
      <c r="C60" s="9"/>
      <c r="D60" s="9"/>
    </row>
    <row r="61" customFormat="false" ht="15.75" hidden="false" customHeight="false" outlineLevel="0" collapsed="false">
      <c r="A61" s="53"/>
      <c r="B61" s="9"/>
      <c r="C61" s="9"/>
      <c r="D61" s="9"/>
    </row>
    <row r="62" customFormat="false" ht="15.75" hidden="false" customHeight="false" outlineLevel="0" collapsed="false">
      <c r="A62" s="53"/>
      <c r="B62" s="9"/>
      <c r="C62" s="9"/>
      <c r="D62" s="9"/>
    </row>
    <row r="63" customFormat="false" ht="15.75" hidden="false" customHeight="false" outlineLevel="0" collapsed="false">
      <c r="A63" s="53"/>
      <c r="B63" s="9"/>
      <c r="C63" s="9"/>
      <c r="D63" s="9"/>
    </row>
    <row r="64" customFormat="false" ht="15.75" hidden="false" customHeight="false" outlineLevel="0" collapsed="false">
      <c r="A64" s="53"/>
      <c r="B64" s="9"/>
      <c r="C64" s="9"/>
      <c r="D64" s="9"/>
    </row>
    <row r="65" customFormat="false" ht="15.75" hidden="false" customHeight="false" outlineLevel="0" collapsed="false">
      <c r="A65" s="53"/>
      <c r="B65" s="9"/>
      <c r="C65" s="9"/>
      <c r="D65" s="9"/>
    </row>
    <row r="66" customFormat="false" ht="15.75" hidden="false" customHeight="false" outlineLevel="0" collapsed="false">
      <c r="A66" s="53"/>
      <c r="B66" s="9"/>
      <c r="C66" s="9"/>
      <c r="D66" s="9"/>
    </row>
    <row r="67" customFormat="false" ht="15.75" hidden="false" customHeight="false" outlineLevel="0" collapsed="false">
      <c r="A67" s="53"/>
      <c r="B67" s="9"/>
      <c r="C67" s="9"/>
      <c r="D67" s="9"/>
    </row>
    <row r="68" customFormat="false" ht="15.75" hidden="false" customHeight="false" outlineLevel="0" collapsed="false">
      <c r="A68" s="53"/>
      <c r="B68" s="9"/>
      <c r="C68" s="9"/>
      <c r="D68" s="9"/>
    </row>
    <row r="69" customFormat="false" ht="15.75" hidden="false" customHeight="false" outlineLevel="0" collapsed="false">
      <c r="A69" s="53"/>
      <c r="B69" s="9"/>
      <c r="C69" s="9"/>
      <c r="D69" s="9"/>
    </row>
    <row r="70" customFormat="false" ht="15.75" hidden="false" customHeight="false" outlineLevel="0" collapsed="false">
      <c r="A70" s="53"/>
      <c r="B70" s="9"/>
      <c r="C70" s="9"/>
      <c r="D70" s="9"/>
    </row>
    <row r="71" customFormat="false" ht="15.75" hidden="false" customHeight="false" outlineLevel="0" collapsed="false">
      <c r="A71" s="53"/>
      <c r="B71" s="9"/>
      <c r="C71" s="9"/>
      <c r="D71" s="9"/>
    </row>
    <row r="72" customFormat="false" ht="15.75" hidden="false" customHeight="false" outlineLevel="0" collapsed="false">
      <c r="A72" s="53"/>
      <c r="B72" s="9"/>
      <c r="C72" s="9"/>
      <c r="D72" s="9"/>
    </row>
    <row r="73" customFormat="false" ht="15.75" hidden="false" customHeight="false" outlineLevel="0" collapsed="false">
      <c r="A73" s="53"/>
      <c r="B73" s="9"/>
      <c r="C73" s="9"/>
      <c r="D73" s="9"/>
    </row>
    <row r="74" customFormat="false" ht="15.75" hidden="false" customHeight="false" outlineLevel="0" collapsed="false">
      <c r="A74" s="53"/>
      <c r="B74" s="9"/>
      <c r="C74" s="9"/>
      <c r="D74" s="9"/>
    </row>
    <row r="75" customFormat="false" ht="15.75" hidden="false" customHeight="false" outlineLevel="0" collapsed="false">
      <c r="A75" s="53"/>
      <c r="B75" s="9"/>
      <c r="C75" s="9"/>
      <c r="D75" s="9"/>
    </row>
    <row r="76" customFormat="false" ht="15.75" hidden="false" customHeight="false" outlineLevel="0" collapsed="false">
      <c r="A76" s="53"/>
      <c r="B76" s="9"/>
      <c r="C76" s="9"/>
      <c r="D76" s="9"/>
    </row>
    <row r="77" customFormat="false" ht="15.75" hidden="false" customHeight="false" outlineLevel="0" collapsed="false">
      <c r="A77" s="53"/>
      <c r="B77" s="9"/>
      <c r="C77" s="9"/>
      <c r="D77" s="9"/>
    </row>
    <row r="78" customFormat="false" ht="15.75" hidden="false" customHeight="false" outlineLevel="0" collapsed="false">
      <c r="A78" s="53"/>
      <c r="B78" s="9"/>
      <c r="C78" s="9"/>
      <c r="D78" s="9"/>
    </row>
    <row r="79" customFormat="false" ht="15.75" hidden="false" customHeight="false" outlineLevel="0" collapsed="false">
      <c r="A79" s="53"/>
      <c r="B79" s="9"/>
      <c r="C79" s="9"/>
      <c r="D79" s="9"/>
    </row>
    <row r="80" customFormat="false" ht="15.75" hidden="false" customHeight="false" outlineLevel="0" collapsed="false">
      <c r="A80" s="53"/>
      <c r="B80" s="9"/>
      <c r="C80" s="9"/>
      <c r="D80" s="9"/>
    </row>
    <row r="81" customFormat="false" ht="15.75" hidden="false" customHeight="false" outlineLevel="0" collapsed="false">
      <c r="A81" s="53"/>
      <c r="B81" s="9"/>
      <c r="C81" s="9"/>
      <c r="D81" s="9"/>
    </row>
    <row r="82" customFormat="false" ht="15.75" hidden="false" customHeight="false" outlineLevel="0" collapsed="false">
      <c r="A82" s="53"/>
      <c r="B82" s="9"/>
      <c r="C82" s="9"/>
      <c r="D82" s="9"/>
    </row>
    <row r="83" customFormat="false" ht="15.75" hidden="false" customHeight="false" outlineLevel="0" collapsed="false">
      <c r="A83" s="53"/>
      <c r="B83" s="9"/>
      <c r="C83" s="9"/>
      <c r="D83" s="9"/>
    </row>
    <row r="84" customFormat="false" ht="15.75" hidden="false" customHeight="false" outlineLevel="0" collapsed="false">
      <c r="A84" s="53"/>
      <c r="B84" s="9"/>
      <c r="C84" s="9"/>
      <c r="D84" s="9"/>
    </row>
    <row r="85" customFormat="false" ht="15.75" hidden="false" customHeight="false" outlineLevel="0" collapsed="false">
      <c r="A85" s="53"/>
      <c r="B85" s="9"/>
      <c r="C85" s="9"/>
      <c r="D85" s="9"/>
    </row>
    <row r="86" customFormat="false" ht="15.75" hidden="false" customHeight="false" outlineLevel="0" collapsed="false">
      <c r="A86" s="53"/>
      <c r="B86" s="9"/>
      <c r="C86" s="9"/>
      <c r="D86" s="9"/>
    </row>
    <row r="87" customFormat="false" ht="15.75" hidden="false" customHeight="false" outlineLevel="0" collapsed="false">
      <c r="A87" s="53"/>
      <c r="B87" s="9"/>
      <c r="C87" s="9"/>
      <c r="D87" s="9"/>
    </row>
    <row r="88" customFormat="false" ht="15.75" hidden="false" customHeight="false" outlineLevel="0" collapsed="false">
      <c r="A88" s="53"/>
      <c r="B88" s="9"/>
      <c r="C88" s="9"/>
      <c r="D88" s="9"/>
    </row>
    <row r="89" customFormat="false" ht="15.75" hidden="false" customHeight="false" outlineLevel="0" collapsed="false">
      <c r="A89" s="53"/>
      <c r="B89" s="9"/>
      <c r="C89" s="9"/>
      <c r="D89" s="9"/>
    </row>
    <row r="90" customFormat="false" ht="15.75" hidden="false" customHeight="false" outlineLevel="0" collapsed="false">
      <c r="A90" s="53"/>
      <c r="B90" s="9"/>
      <c r="C90" s="9"/>
      <c r="D90" s="9"/>
    </row>
    <row r="91" customFormat="false" ht="15.75" hidden="false" customHeight="false" outlineLevel="0" collapsed="false">
      <c r="A91" s="53"/>
      <c r="B91" s="9"/>
      <c r="C91" s="9"/>
      <c r="D91" s="9"/>
    </row>
    <row r="92" customFormat="false" ht="15.75" hidden="false" customHeight="false" outlineLevel="0" collapsed="false">
      <c r="A92" s="53"/>
      <c r="B92" s="9"/>
      <c r="C92" s="9"/>
      <c r="D92" s="9"/>
    </row>
    <row r="93" customFormat="false" ht="15.75" hidden="false" customHeight="false" outlineLevel="0" collapsed="false">
      <c r="A93" s="53"/>
      <c r="B93" s="9"/>
      <c r="C93" s="9"/>
      <c r="D93" s="9"/>
    </row>
    <row r="94" customFormat="false" ht="15.75" hidden="false" customHeight="false" outlineLevel="0" collapsed="false">
      <c r="A94" s="53"/>
      <c r="B94" s="9"/>
      <c r="C94" s="9"/>
      <c r="D94" s="9"/>
    </row>
    <row r="95" customFormat="false" ht="15.75" hidden="false" customHeight="false" outlineLevel="0" collapsed="false">
      <c r="A95" s="53"/>
      <c r="B95" s="9"/>
      <c r="C95" s="9"/>
      <c r="D95" s="9"/>
    </row>
    <row r="96" customFormat="false" ht="15.75" hidden="false" customHeight="false" outlineLevel="0" collapsed="false">
      <c r="A96" s="53"/>
      <c r="B96" s="9"/>
      <c r="C96" s="9"/>
      <c r="D96" s="9"/>
    </row>
    <row r="97" customFormat="false" ht="15.75" hidden="false" customHeight="false" outlineLevel="0" collapsed="false">
      <c r="A97" s="53"/>
      <c r="B97" s="9"/>
      <c r="C97" s="9"/>
      <c r="D97" s="9"/>
    </row>
    <row r="98" customFormat="false" ht="15.75" hidden="false" customHeight="false" outlineLevel="0" collapsed="false">
      <c r="A98" s="53"/>
      <c r="B98" s="9"/>
      <c r="C98" s="9"/>
      <c r="D98" s="9"/>
    </row>
    <row r="99" customFormat="false" ht="15.75" hidden="false" customHeight="false" outlineLevel="0" collapsed="false">
      <c r="A99" s="53"/>
      <c r="B99" s="9"/>
      <c r="C99" s="9"/>
      <c r="D99" s="9"/>
    </row>
    <row r="100" customFormat="false" ht="15.75" hidden="false" customHeight="false" outlineLevel="0" collapsed="false">
      <c r="A100" s="53"/>
      <c r="B100" s="9"/>
      <c r="C100" s="9"/>
      <c r="D100" s="9"/>
    </row>
    <row r="101" customFormat="false" ht="15.75" hidden="false" customHeight="false" outlineLevel="0" collapsed="false">
      <c r="A101" s="53"/>
      <c r="B101" s="9"/>
      <c r="C101" s="9"/>
      <c r="D101" s="9"/>
    </row>
    <row r="102" customFormat="false" ht="15.75" hidden="false" customHeight="false" outlineLevel="0" collapsed="false">
      <c r="A102" s="53"/>
      <c r="B102" s="9"/>
      <c r="C102" s="9"/>
      <c r="D102" s="9"/>
    </row>
    <row r="103" customFormat="false" ht="15.75" hidden="false" customHeight="false" outlineLevel="0" collapsed="false">
      <c r="A103" s="53"/>
      <c r="B103" s="9"/>
      <c r="C103" s="9"/>
      <c r="D103" s="9"/>
    </row>
    <row r="104" customFormat="false" ht="15.75" hidden="false" customHeight="false" outlineLevel="0" collapsed="false">
      <c r="A104" s="53"/>
      <c r="B104" s="9"/>
      <c r="C104" s="9"/>
      <c r="D104" s="9"/>
    </row>
    <row r="105" customFormat="false" ht="15.75" hidden="false" customHeight="false" outlineLevel="0" collapsed="false">
      <c r="A105" s="53"/>
      <c r="B105" s="9"/>
      <c r="C105" s="9"/>
      <c r="D105" s="9"/>
    </row>
    <row r="106" customFormat="false" ht="15.75" hidden="false" customHeight="false" outlineLevel="0" collapsed="false">
      <c r="A106" s="53"/>
      <c r="B106" s="9"/>
      <c r="C106" s="9"/>
      <c r="D106" s="9"/>
    </row>
    <row r="107" customFormat="false" ht="15.75" hidden="false" customHeight="false" outlineLevel="0" collapsed="false">
      <c r="A107" s="53"/>
      <c r="B107" s="9"/>
      <c r="C107" s="9"/>
      <c r="D107" s="9"/>
    </row>
    <row r="108" customFormat="false" ht="15.75" hidden="false" customHeight="false" outlineLevel="0" collapsed="false">
      <c r="A108" s="53"/>
      <c r="B108" s="9"/>
      <c r="C108" s="9"/>
      <c r="D108" s="9"/>
    </row>
    <row r="109" customFormat="false" ht="15.75" hidden="false" customHeight="false" outlineLevel="0" collapsed="false">
      <c r="A109" s="53"/>
      <c r="B109" s="9"/>
      <c r="C109" s="9"/>
      <c r="D109" s="9"/>
    </row>
    <row r="110" customFormat="false" ht="15.75" hidden="false" customHeight="false" outlineLevel="0" collapsed="false">
      <c r="A110" s="53"/>
      <c r="B110" s="9"/>
      <c r="C110" s="9"/>
      <c r="D110" s="9"/>
    </row>
    <row r="111" customFormat="false" ht="15.75" hidden="false" customHeight="false" outlineLevel="0" collapsed="false">
      <c r="A111" s="53"/>
      <c r="B111" s="9"/>
      <c r="C111" s="9"/>
      <c r="D111" s="9"/>
    </row>
    <row r="112" customFormat="false" ht="15.75" hidden="false" customHeight="false" outlineLevel="0" collapsed="false">
      <c r="A112" s="53"/>
      <c r="B112" s="9"/>
      <c r="C112" s="9"/>
      <c r="D112" s="9"/>
    </row>
    <row r="113" customFormat="false" ht="15.75" hidden="false" customHeight="false" outlineLevel="0" collapsed="false">
      <c r="A113" s="53"/>
      <c r="B113" s="9"/>
      <c r="C113" s="9"/>
      <c r="D113" s="9"/>
    </row>
    <row r="114" customFormat="false" ht="15.75" hidden="false" customHeight="false" outlineLevel="0" collapsed="false">
      <c r="A114" s="53"/>
      <c r="B114" s="9"/>
      <c r="C114" s="9"/>
      <c r="D114" s="9"/>
    </row>
    <row r="115" customFormat="false" ht="15.75" hidden="false" customHeight="false" outlineLevel="0" collapsed="false">
      <c r="A115" s="53"/>
      <c r="B115" s="9"/>
      <c r="C115" s="9"/>
      <c r="D115" s="9"/>
    </row>
    <row r="116" customFormat="false" ht="15.75" hidden="false" customHeight="false" outlineLevel="0" collapsed="false">
      <c r="A116" s="53"/>
      <c r="B116" s="9"/>
      <c r="C116" s="9"/>
      <c r="D116" s="9"/>
    </row>
    <row r="117" customFormat="false" ht="15.75" hidden="false" customHeight="false" outlineLevel="0" collapsed="false">
      <c r="A117" s="53"/>
      <c r="B117" s="9"/>
      <c r="C117" s="9"/>
      <c r="D117" s="9"/>
    </row>
    <row r="118" customFormat="false" ht="15.75" hidden="false" customHeight="false" outlineLevel="0" collapsed="false">
      <c r="A118" s="53"/>
      <c r="B118" s="9"/>
      <c r="C118" s="9"/>
      <c r="D118" s="9"/>
    </row>
    <row r="119" customFormat="false" ht="15.75" hidden="false" customHeight="false" outlineLevel="0" collapsed="false">
      <c r="A119" s="53"/>
      <c r="B119" s="9"/>
      <c r="C119" s="9"/>
      <c r="D119" s="9"/>
    </row>
    <row r="120" customFormat="false" ht="15.75" hidden="false" customHeight="false" outlineLevel="0" collapsed="false">
      <c r="A120" s="53"/>
      <c r="B120" s="9"/>
      <c r="C120" s="9"/>
      <c r="D120" s="9"/>
    </row>
    <row r="121" customFormat="false" ht="15.75" hidden="false" customHeight="false" outlineLevel="0" collapsed="false">
      <c r="A121" s="53"/>
      <c r="B121" s="9"/>
      <c r="C121" s="9"/>
      <c r="D121" s="9"/>
    </row>
    <row r="122" customFormat="false" ht="15.75" hidden="false" customHeight="false" outlineLevel="0" collapsed="false">
      <c r="A122" s="53"/>
      <c r="B122" s="9"/>
      <c r="C122" s="9"/>
      <c r="D122" s="9"/>
    </row>
    <row r="123" customFormat="false" ht="15.75" hidden="false" customHeight="false" outlineLevel="0" collapsed="false">
      <c r="A123" s="53"/>
      <c r="B123" s="9"/>
      <c r="C123" s="9"/>
      <c r="D123" s="9"/>
    </row>
    <row r="124" customFormat="false" ht="15.75" hidden="false" customHeight="false" outlineLevel="0" collapsed="false">
      <c r="A124" s="53"/>
      <c r="B124" s="9"/>
      <c r="C124" s="9"/>
      <c r="D124" s="9"/>
    </row>
    <row r="125" customFormat="false" ht="15.75" hidden="false" customHeight="false" outlineLevel="0" collapsed="false">
      <c r="A125" s="53"/>
      <c r="B125" s="9"/>
      <c r="C125" s="9"/>
      <c r="D125" s="9"/>
    </row>
    <row r="126" customFormat="false" ht="15.75" hidden="false" customHeight="false" outlineLevel="0" collapsed="false">
      <c r="A126" s="53"/>
      <c r="B126" s="9"/>
      <c r="C126" s="9"/>
      <c r="D126" s="9"/>
    </row>
    <row r="127" customFormat="false" ht="15.75" hidden="false" customHeight="false" outlineLevel="0" collapsed="false">
      <c r="A127" s="53"/>
      <c r="B127" s="9"/>
      <c r="C127" s="9"/>
      <c r="D127" s="9"/>
    </row>
    <row r="128" customFormat="false" ht="15.75" hidden="false" customHeight="false" outlineLevel="0" collapsed="false">
      <c r="A128" s="53"/>
      <c r="B128" s="9"/>
      <c r="C128" s="9"/>
      <c r="D128" s="9"/>
    </row>
    <row r="129" customFormat="false" ht="15.75" hidden="false" customHeight="false" outlineLevel="0" collapsed="false">
      <c r="A129" s="53"/>
      <c r="B129" s="9"/>
      <c r="C129" s="9"/>
      <c r="D129" s="9"/>
    </row>
    <row r="130" customFormat="false" ht="15.75" hidden="false" customHeight="false" outlineLevel="0" collapsed="false">
      <c r="A130" s="53"/>
      <c r="B130" s="9"/>
      <c r="C130" s="9"/>
      <c r="D130" s="9"/>
    </row>
    <row r="131" customFormat="false" ht="15.75" hidden="false" customHeight="false" outlineLevel="0" collapsed="false">
      <c r="A131" s="53"/>
      <c r="B131" s="9"/>
      <c r="C131" s="9"/>
      <c r="D131" s="9"/>
    </row>
    <row r="132" customFormat="false" ht="15.75" hidden="false" customHeight="false" outlineLevel="0" collapsed="false">
      <c r="A132" s="53"/>
      <c r="B132" s="9"/>
      <c r="C132" s="9"/>
      <c r="D132" s="9"/>
    </row>
    <row r="133" customFormat="false" ht="15.75" hidden="false" customHeight="false" outlineLevel="0" collapsed="false">
      <c r="A133" s="53"/>
      <c r="B133" s="9"/>
      <c r="C133" s="9"/>
      <c r="D133" s="9"/>
    </row>
    <row r="134" customFormat="false" ht="15.75" hidden="false" customHeight="false" outlineLevel="0" collapsed="false">
      <c r="A134" s="53"/>
      <c r="B134" s="9"/>
      <c r="C134" s="9"/>
      <c r="D134" s="9"/>
    </row>
    <row r="135" customFormat="false" ht="15.75" hidden="false" customHeight="false" outlineLevel="0" collapsed="false">
      <c r="A135" s="53"/>
      <c r="B135" s="9"/>
      <c r="C135" s="9"/>
      <c r="D135" s="9"/>
    </row>
    <row r="136" customFormat="false" ht="15.75" hidden="false" customHeight="false" outlineLevel="0" collapsed="false">
      <c r="A136" s="53"/>
      <c r="B136" s="9"/>
      <c r="C136" s="9"/>
      <c r="D136" s="9"/>
    </row>
    <row r="137" customFormat="false" ht="15.75" hidden="false" customHeight="false" outlineLevel="0" collapsed="false">
      <c r="A137" s="53"/>
      <c r="B137" s="9"/>
      <c r="C137" s="9"/>
      <c r="D137" s="9"/>
    </row>
    <row r="138" customFormat="false" ht="15.75" hidden="false" customHeight="false" outlineLevel="0" collapsed="false">
      <c r="A138" s="53"/>
      <c r="B138" s="9"/>
      <c r="C138" s="9"/>
      <c r="D138" s="9"/>
    </row>
    <row r="139" customFormat="false" ht="15.75" hidden="false" customHeight="false" outlineLevel="0" collapsed="false">
      <c r="A139" s="53"/>
      <c r="B139" s="9"/>
      <c r="C139" s="9"/>
      <c r="D139" s="9"/>
    </row>
    <row r="140" customFormat="false" ht="15.75" hidden="false" customHeight="false" outlineLevel="0" collapsed="false">
      <c r="A140" s="53"/>
      <c r="B140" s="9"/>
      <c r="C140" s="9"/>
      <c r="D140" s="9"/>
    </row>
    <row r="141" customFormat="false" ht="15.75" hidden="false" customHeight="false" outlineLevel="0" collapsed="false">
      <c r="A141" s="53"/>
      <c r="B141" s="9"/>
      <c r="C141" s="9"/>
      <c r="D141" s="9"/>
    </row>
    <row r="142" customFormat="false" ht="15.75" hidden="false" customHeight="false" outlineLevel="0" collapsed="false">
      <c r="A142" s="53"/>
      <c r="B142" s="9"/>
      <c r="C142" s="9"/>
      <c r="D142" s="9"/>
    </row>
    <row r="143" customFormat="false" ht="15.75" hidden="false" customHeight="false" outlineLevel="0" collapsed="false">
      <c r="A143" s="53"/>
      <c r="B143" s="9"/>
      <c r="C143" s="9"/>
      <c r="D143" s="9"/>
    </row>
    <row r="144" customFormat="false" ht="15.75" hidden="false" customHeight="false" outlineLevel="0" collapsed="false">
      <c r="A144" s="53"/>
      <c r="B144" s="9"/>
      <c r="C144" s="9"/>
      <c r="D144" s="9"/>
    </row>
    <row r="145" customFormat="false" ht="15.75" hidden="false" customHeight="false" outlineLevel="0" collapsed="false">
      <c r="A145" s="53"/>
      <c r="B145" s="9"/>
      <c r="C145" s="9"/>
      <c r="D145" s="9"/>
    </row>
    <row r="146" customFormat="false" ht="15.75" hidden="false" customHeight="false" outlineLevel="0" collapsed="false">
      <c r="A146" s="53"/>
      <c r="B146" s="9"/>
      <c r="C146" s="9"/>
      <c r="D146" s="9"/>
    </row>
    <row r="147" customFormat="false" ht="15.75" hidden="false" customHeight="false" outlineLevel="0" collapsed="false">
      <c r="A147" s="53"/>
      <c r="B147" s="9"/>
      <c r="C147" s="9"/>
      <c r="D147" s="9"/>
    </row>
    <row r="148" customFormat="false" ht="15.75" hidden="false" customHeight="false" outlineLevel="0" collapsed="false">
      <c r="A148" s="53"/>
      <c r="B148" s="9"/>
      <c r="C148" s="9"/>
      <c r="D148" s="9"/>
    </row>
    <row r="149" customFormat="false" ht="15.75" hidden="false" customHeight="false" outlineLevel="0" collapsed="false">
      <c r="A149" s="53"/>
      <c r="B149" s="9"/>
      <c r="C149" s="9"/>
      <c r="D149" s="9"/>
    </row>
    <row r="150" customFormat="false" ht="15.75" hidden="false" customHeight="false" outlineLevel="0" collapsed="false">
      <c r="A150" s="53"/>
      <c r="B150" s="9"/>
      <c r="C150" s="9"/>
      <c r="D150" s="9"/>
    </row>
    <row r="151" customFormat="false" ht="15.75" hidden="false" customHeight="false" outlineLevel="0" collapsed="false">
      <c r="A151" s="53"/>
      <c r="B151" s="9"/>
      <c r="C151" s="9"/>
      <c r="D151" s="9"/>
    </row>
    <row r="152" customFormat="false" ht="15.75" hidden="false" customHeight="false" outlineLevel="0" collapsed="false">
      <c r="A152" s="53"/>
      <c r="B152" s="9"/>
      <c r="C152" s="9"/>
      <c r="D152" s="9"/>
    </row>
    <row r="153" customFormat="false" ht="15.75" hidden="false" customHeight="false" outlineLevel="0" collapsed="false">
      <c r="A153" s="53"/>
      <c r="B153" s="9"/>
      <c r="C153" s="9"/>
      <c r="D153" s="9"/>
    </row>
    <row r="154" customFormat="false" ht="15.75" hidden="false" customHeight="false" outlineLevel="0" collapsed="false">
      <c r="A154" s="53"/>
      <c r="B154" s="9"/>
      <c r="C154" s="9"/>
      <c r="D154" s="9"/>
    </row>
    <row r="155" customFormat="false" ht="15.75" hidden="false" customHeight="false" outlineLevel="0" collapsed="false">
      <c r="A155" s="53"/>
      <c r="B155" s="9"/>
      <c r="C155" s="9"/>
      <c r="D155" s="9"/>
    </row>
    <row r="156" customFormat="false" ht="15.75" hidden="false" customHeight="false" outlineLevel="0" collapsed="false">
      <c r="A156" s="53"/>
      <c r="B156" s="9"/>
      <c r="C156" s="9"/>
      <c r="D156" s="9"/>
    </row>
    <row r="157" customFormat="false" ht="15.75" hidden="false" customHeight="false" outlineLevel="0" collapsed="false">
      <c r="A157" s="53"/>
      <c r="B157" s="9"/>
      <c r="C157" s="9"/>
      <c r="D157" s="9"/>
    </row>
    <row r="158" customFormat="false" ht="15.75" hidden="false" customHeight="false" outlineLevel="0" collapsed="false">
      <c r="A158" s="53"/>
      <c r="B158" s="9"/>
      <c r="C158" s="9"/>
      <c r="D158" s="9"/>
    </row>
    <row r="159" customFormat="false" ht="15.75" hidden="false" customHeight="false" outlineLevel="0" collapsed="false">
      <c r="A159" s="53"/>
      <c r="B159" s="9"/>
      <c r="C159" s="9"/>
      <c r="D159" s="9"/>
    </row>
    <row r="160" customFormat="false" ht="15.75" hidden="false" customHeight="false" outlineLevel="0" collapsed="false">
      <c r="A160" s="53"/>
      <c r="B160" s="9"/>
      <c r="C160" s="9"/>
      <c r="D160" s="9"/>
    </row>
    <row r="161" customFormat="false" ht="15.75" hidden="false" customHeight="false" outlineLevel="0" collapsed="false">
      <c r="A161" s="53"/>
      <c r="B161" s="9"/>
      <c r="C161" s="9"/>
      <c r="D161" s="9"/>
    </row>
    <row r="162" customFormat="false" ht="15.75" hidden="false" customHeight="false" outlineLevel="0" collapsed="false">
      <c r="A162" s="53"/>
      <c r="B162" s="9"/>
      <c r="C162" s="9"/>
      <c r="D162" s="9"/>
    </row>
    <row r="163" customFormat="false" ht="15.75" hidden="false" customHeight="false" outlineLevel="0" collapsed="false">
      <c r="A163" s="53"/>
      <c r="B163" s="9"/>
      <c r="C163" s="9"/>
      <c r="D163" s="9"/>
    </row>
    <row r="164" customFormat="false" ht="15.75" hidden="false" customHeight="false" outlineLevel="0" collapsed="false">
      <c r="A164" s="53"/>
      <c r="B164" s="9"/>
      <c r="C164" s="9"/>
      <c r="D164" s="9"/>
    </row>
    <row r="165" customFormat="false" ht="15.75" hidden="false" customHeight="false" outlineLevel="0" collapsed="false">
      <c r="A165" s="53"/>
      <c r="B165" s="9"/>
      <c r="C165" s="9"/>
      <c r="D165" s="9"/>
    </row>
    <row r="166" customFormat="false" ht="15.75" hidden="false" customHeight="false" outlineLevel="0" collapsed="false">
      <c r="A166" s="53"/>
      <c r="B166" s="9"/>
      <c r="C166" s="9"/>
      <c r="D166" s="9"/>
    </row>
    <row r="167" customFormat="false" ht="15.75" hidden="false" customHeight="false" outlineLevel="0" collapsed="false">
      <c r="A167" s="53"/>
      <c r="B167" s="9"/>
      <c r="C167" s="9"/>
      <c r="D167" s="9"/>
    </row>
    <row r="168" customFormat="false" ht="15.75" hidden="false" customHeight="false" outlineLevel="0" collapsed="false">
      <c r="A168" s="53"/>
      <c r="B168" s="9"/>
      <c r="C168" s="9"/>
      <c r="D168" s="9"/>
    </row>
    <row r="169" customFormat="false" ht="15.75" hidden="false" customHeight="false" outlineLevel="0" collapsed="false">
      <c r="A169" s="53"/>
      <c r="B169" s="9"/>
      <c r="C169" s="9"/>
      <c r="D169" s="9"/>
    </row>
    <row r="170" customFormat="false" ht="15.75" hidden="false" customHeight="false" outlineLevel="0" collapsed="false">
      <c r="A170" s="53"/>
      <c r="B170" s="9"/>
      <c r="C170" s="9"/>
      <c r="D170" s="9"/>
    </row>
    <row r="171" customFormat="false" ht="15.75" hidden="false" customHeight="false" outlineLevel="0" collapsed="false">
      <c r="A171" s="53"/>
      <c r="B171" s="9"/>
      <c r="C171" s="9"/>
      <c r="D171" s="9"/>
    </row>
    <row r="172" customFormat="false" ht="15.75" hidden="false" customHeight="false" outlineLevel="0" collapsed="false">
      <c r="A172" s="53"/>
      <c r="B172" s="9"/>
      <c r="C172" s="9"/>
      <c r="D172" s="9"/>
    </row>
    <row r="173" customFormat="false" ht="15.75" hidden="false" customHeight="false" outlineLevel="0" collapsed="false">
      <c r="A173" s="53"/>
      <c r="B173" s="9"/>
      <c r="C173" s="9"/>
      <c r="D173" s="9"/>
    </row>
    <row r="174" customFormat="false" ht="15.75" hidden="false" customHeight="false" outlineLevel="0" collapsed="false">
      <c r="A174" s="53"/>
      <c r="B174" s="9"/>
      <c r="C174" s="9"/>
      <c r="D174" s="9"/>
    </row>
    <row r="175" customFormat="false" ht="15.75" hidden="false" customHeight="false" outlineLevel="0" collapsed="false">
      <c r="A175" s="53"/>
      <c r="B175" s="9"/>
      <c r="C175" s="9"/>
      <c r="D175" s="9"/>
    </row>
    <row r="176" customFormat="false" ht="15.75" hidden="false" customHeight="false" outlineLevel="0" collapsed="false">
      <c r="A176" s="53"/>
      <c r="B176" s="9"/>
      <c r="C176" s="9"/>
      <c r="D176" s="9"/>
    </row>
    <row r="177" customFormat="false" ht="15.75" hidden="false" customHeight="false" outlineLevel="0" collapsed="false">
      <c r="A177" s="53"/>
      <c r="B177" s="9"/>
      <c r="C177" s="9"/>
      <c r="D177" s="9"/>
    </row>
    <row r="178" customFormat="false" ht="15.75" hidden="false" customHeight="false" outlineLevel="0" collapsed="false">
      <c r="A178" s="53"/>
      <c r="B178" s="9"/>
      <c r="C178" s="9"/>
      <c r="D178" s="9"/>
    </row>
    <row r="179" customFormat="false" ht="15.75" hidden="false" customHeight="false" outlineLevel="0" collapsed="false">
      <c r="A179" s="53"/>
      <c r="B179" s="9"/>
      <c r="C179" s="9"/>
      <c r="D179" s="9"/>
    </row>
    <row r="180" customFormat="false" ht="15.75" hidden="false" customHeight="false" outlineLevel="0" collapsed="false">
      <c r="A180" s="53"/>
      <c r="B180" s="9"/>
      <c r="C180" s="9"/>
      <c r="D180" s="9"/>
    </row>
    <row r="181" customFormat="false" ht="15.75" hidden="false" customHeight="false" outlineLevel="0" collapsed="false">
      <c r="A181" s="53"/>
      <c r="B181" s="9"/>
      <c r="C181" s="9"/>
      <c r="D181" s="9"/>
    </row>
    <row r="182" customFormat="false" ht="15.75" hidden="false" customHeight="false" outlineLevel="0" collapsed="false">
      <c r="A182" s="53"/>
      <c r="B182" s="9"/>
      <c r="C182" s="9"/>
      <c r="D182" s="9"/>
    </row>
    <row r="183" customFormat="false" ht="15.75" hidden="false" customHeight="false" outlineLevel="0" collapsed="false">
      <c r="A183" s="53"/>
      <c r="B183" s="9"/>
      <c r="C183" s="9"/>
      <c r="D183" s="9"/>
    </row>
    <row r="184" customFormat="false" ht="15.75" hidden="false" customHeight="false" outlineLevel="0" collapsed="false">
      <c r="A184" s="53"/>
      <c r="B184" s="9"/>
      <c r="C184" s="9"/>
      <c r="D184" s="9"/>
    </row>
    <row r="185" customFormat="false" ht="15.75" hidden="false" customHeight="false" outlineLevel="0" collapsed="false">
      <c r="A185" s="53"/>
      <c r="B185" s="9"/>
      <c r="C185" s="9"/>
      <c r="D185" s="9"/>
    </row>
    <row r="186" customFormat="false" ht="15.75" hidden="false" customHeight="false" outlineLevel="0" collapsed="false">
      <c r="A186" s="53"/>
      <c r="B186" s="9"/>
      <c r="C186" s="9"/>
      <c r="D186" s="9"/>
    </row>
    <row r="187" customFormat="false" ht="15.75" hidden="false" customHeight="false" outlineLevel="0" collapsed="false">
      <c r="A187" s="53"/>
      <c r="B187" s="9"/>
      <c r="C187" s="9"/>
      <c r="D187" s="9"/>
    </row>
    <row r="188" customFormat="false" ht="15.75" hidden="false" customHeight="false" outlineLevel="0" collapsed="false">
      <c r="A188" s="53"/>
      <c r="B188" s="9"/>
      <c r="C188" s="9"/>
      <c r="D188" s="9"/>
    </row>
    <row r="189" customFormat="false" ht="15.75" hidden="false" customHeight="false" outlineLevel="0" collapsed="false">
      <c r="A189" s="53"/>
      <c r="B189" s="9"/>
      <c r="C189" s="9"/>
      <c r="D189" s="9"/>
    </row>
    <row r="190" customFormat="false" ht="15.75" hidden="false" customHeight="false" outlineLevel="0" collapsed="false">
      <c r="A190" s="53"/>
      <c r="B190" s="9"/>
      <c r="C190" s="9"/>
      <c r="D190" s="9"/>
    </row>
    <row r="191" customFormat="false" ht="15.75" hidden="false" customHeight="false" outlineLevel="0" collapsed="false">
      <c r="A191" s="53"/>
      <c r="B191" s="9"/>
      <c r="C191" s="9"/>
      <c r="D191" s="9"/>
    </row>
    <row r="192" customFormat="false" ht="15.75" hidden="false" customHeight="false" outlineLevel="0" collapsed="false">
      <c r="A192" s="53"/>
      <c r="B192" s="9"/>
      <c r="C192" s="9"/>
      <c r="D192" s="9"/>
    </row>
    <row r="193" customFormat="false" ht="15.75" hidden="false" customHeight="false" outlineLevel="0" collapsed="false">
      <c r="A193" s="53"/>
      <c r="B193" s="9"/>
      <c r="C193" s="9"/>
      <c r="D193" s="9"/>
    </row>
    <row r="194" customFormat="false" ht="15.75" hidden="false" customHeight="false" outlineLevel="0" collapsed="false">
      <c r="A194" s="53"/>
      <c r="B194" s="9"/>
      <c r="C194" s="9"/>
      <c r="D194" s="9"/>
    </row>
    <row r="195" customFormat="false" ht="15.75" hidden="false" customHeight="false" outlineLevel="0" collapsed="false">
      <c r="A195" s="53"/>
      <c r="B195" s="9"/>
      <c r="C195" s="9"/>
      <c r="D195" s="9"/>
    </row>
    <row r="196" customFormat="false" ht="15.75" hidden="false" customHeight="false" outlineLevel="0" collapsed="false">
      <c r="A196" s="53"/>
      <c r="B196" s="9"/>
      <c r="C196" s="9"/>
      <c r="D196" s="9"/>
    </row>
    <row r="197" customFormat="false" ht="15.75" hidden="false" customHeight="false" outlineLevel="0" collapsed="false">
      <c r="A197" s="53"/>
      <c r="B197" s="9"/>
      <c r="C197" s="9"/>
      <c r="D197" s="9"/>
    </row>
    <row r="198" customFormat="false" ht="15.75" hidden="false" customHeight="false" outlineLevel="0" collapsed="false">
      <c r="A198" s="53"/>
      <c r="B198" s="9"/>
      <c r="C198" s="9"/>
      <c r="D198" s="9"/>
    </row>
    <row r="199" customFormat="false" ht="15.75" hidden="false" customHeight="false" outlineLevel="0" collapsed="false">
      <c r="A199" s="53"/>
      <c r="B199" s="9"/>
      <c r="C199" s="9"/>
      <c r="D199" s="9"/>
    </row>
    <row r="200" customFormat="false" ht="15.75" hidden="false" customHeight="false" outlineLevel="0" collapsed="false">
      <c r="A200" s="53"/>
      <c r="B200" s="9"/>
      <c r="C200" s="9"/>
      <c r="D200" s="9"/>
    </row>
    <row r="201" customFormat="false" ht="15.75" hidden="false" customHeight="false" outlineLevel="0" collapsed="false">
      <c r="A201" s="53"/>
      <c r="B201" s="9"/>
      <c r="C201" s="9"/>
      <c r="D201" s="9"/>
    </row>
    <row r="202" customFormat="false" ht="15.75" hidden="false" customHeight="false" outlineLevel="0" collapsed="false">
      <c r="A202" s="53"/>
      <c r="B202" s="9"/>
      <c r="C202" s="9"/>
      <c r="D202" s="9"/>
    </row>
    <row r="203" customFormat="false" ht="15.75" hidden="false" customHeight="false" outlineLevel="0" collapsed="false">
      <c r="A203" s="53"/>
      <c r="B203" s="9"/>
      <c r="C203" s="9"/>
      <c r="D203" s="9"/>
    </row>
    <row r="204" customFormat="false" ht="15.75" hidden="false" customHeight="false" outlineLevel="0" collapsed="false">
      <c r="A204" s="53"/>
      <c r="B204" s="9"/>
      <c r="C204" s="9"/>
      <c r="D204" s="9"/>
    </row>
    <row r="205" customFormat="false" ht="15.75" hidden="false" customHeight="false" outlineLevel="0" collapsed="false">
      <c r="A205" s="53"/>
      <c r="B205" s="9"/>
      <c r="C205" s="9"/>
      <c r="D205" s="9"/>
    </row>
    <row r="206" customFormat="false" ht="15.75" hidden="false" customHeight="false" outlineLevel="0" collapsed="false">
      <c r="A206" s="53"/>
      <c r="B206" s="9"/>
      <c r="C206" s="9"/>
      <c r="D206" s="9"/>
    </row>
    <row r="207" customFormat="false" ht="15.75" hidden="false" customHeight="false" outlineLevel="0" collapsed="false">
      <c r="A207" s="53"/>
      <c r="B207" s="9"/>
      <c r="C207" s="9"/>
      <c r="D207" s="9"/>
    </row>
    <row r="208" customFormat="false" ht="15.75" hidden="false" customHeight="false" outlineLevel="0" collapsed="false">
      <c r="A208" s="53"/>
      <c r="B208" s="9"/>
      <c r="C208" s="9"/>
      <c r="D208" s="9"/>
    </row>
    <row r="209" customFormat="false" ht="15.75" hidden="false" customHeight="false" outlineLevel="0" collapsed="false">
      <c r="A209" s="53"/>
      <c r="B209" s="9"/>
      <c r="C209" s="9"/>
      <c r="D209" s="9"/>
    </row>
    <row r="210" customFormat="false" ht="15.75" hidden="false" customHeight="false" outlineLevel="0" collapsed="false">
      <c r="A210" s="53"/>
      <c r="B210" s="9"/>
      <c r="C210" s="9"/>
      <c r="D210" s="9"/>
    </row>
    <row r="211" customFormat="false" ht="15.75" hidden="false" customHeight="false" outlineLevel="0" collapsed="false">
      <c r="A211" s="53"/>
      <c r="B211" s="9"/>
      <c r="C211" s="9"/>
      <c r="D211" s="9"/>
    </row>
    <row r="212" customFormat="false" ht="15.75" hidden="false" customHeight="false" outlineLevel="0" collapsed="false">
      <c r="A212" s="53"/>
      <c r="B212" s="9"/>
      <c r="C212" s="9"/>
      <c r="D212" s="9"/>
    </row>
    <row r="213" customFormat="false" ht="15.75" hidden="false" customHeight="false" outlineLevel="0" collapsed="false">
      <c r="A213" s="53"/>
      <c r="B213" s="9"/>
      <c r="C213" s="9"/>
      <c r="D213" s="9"/>
    </row>
    <row r="214" customFormat="false" ht="15.75" hidden="false" customHeight="false" outlineLevel="0" collapsed="false">
      <c r="A214" s="53"/>
      <c r="B214" s="9"/>
      <c r="C214" s="9"/>
      <c r="D214" s="9"/>
    </row>
    <row r="215" customFormat="false" ht="15.75" hidden="false" customHeight="false" outlineLevel="0" collapsed="false">
      <c r="A215" s="53"/>
      <c r="B215" s="9"/>
      <c r="C215" s="9"/>
      <c r="D215" s="9"/>
    </row>
    <row r="216" customFormat="false" ht="15.75" hidden="false" customHeight="false" outlineLevel="0" collapsed="false">
      <c r="A216" s="53"/>
      <c r="B216" s="9"/>
      <c r="C216" s="9"/>
      <c r="D216" s="9"/>
    </row>
    <row r="217" customFormat="false" ht="15.75" hidden="false" customHeight="false" outlineLevel="0" collapsed="false">
      <c r="A217" s="53"/>
      <c r="B217" s="9"/>
      <c r="C217" s="9"/>
      <c r="D217" s="9"/>
    </row>
    <row r="218" customFormat="false" ht="15.75" hidden="false" customHeight="false" outlineLevel="0" collapsed="false">
      <c r="A218" s="53"/>
      <c r="B218" s="9"/>
      <c r="C218" s="9"/>
      <c r="D218" s="9"/>
    </row>
    <row r="219" customFormat="false" ht="15.75" hidden="false" customHeight="false" outlineLevel="0" collapsed="false">
      <c r="A219" s="53"/>
      <c r="B219" s="9"/>
      <c r="C219" s="9"/>
      <c r="D219" s="9"/>
    </row>
    <row r="220" customFormat="false" ht="15.75" hidden="false" customHeight="false" outlineLevel="0" collapsed="false">
      <c r="A220" s="53"/>
      <c r="B220" s="9"/>
      <c r="C220" s="9"/>
      <c r="D220" s="9"/>
    </row>
    <row r="221" customFormat="false" ht="15.75" hidden="false" customHeight="false" outlineLevel="0" collapsed="false">
      <c r="A221" s="53"/>
      <c r="B221" s="9"/>
      <c r="C221" s="9"/>
      <c r="D221" s="9"/>
    </row>
    <row r="222" customFormat="false" ht="15.75" hidden="false" customHeight="false" outlineLevel="0" collapsed="false">
      <c r="A222" s="53"/>
      <c r="B222" s="9"/>
      <c r="C222" s="9"/>
      <c r="D222" s="9"/>
    </row>
    <row r="223" customFormat="false" ht="15.75" hidden="false" customHeight="false" outlineLevel="0" collapsed="false">
      <c r="A223" s="53"/>
      <c r="B223" s="9"/>
      <c r="C223" s="9"/>
      <c r="D223" s="9"/>
    </row>
    <row r="224" customFormat="false" ht="15.75" hidden="false" customHeight="false" outlineLevel="0" collapsed="false">
      <c r="A224" s="53"/>
      <c r="B224" s="9"/>
      <c r="C224" s="9"/>
      <c r="D224" s="9"/>
    </row>
    <row r="225" customFormat="false" ht="15.75" hidden="false" customHeight="false" outlineLevel="0" collapsed="false">
      <c r="A225" s="53"/>
      <c r="B225" s="9"/>
      <c r="C225" s="9"/>
      <c r="D225" s="9"/>
    </row>
    <row r="226" customFormat="false" ht="15.75" hidden="false" customHeight="false" outlineLevel="0" collapsed="false">
      <c r="A226" s="53"/>
      <c r="B226" s="9"/>
      <c r="C226" s="9"/>
      <c r="D226" s="9"/>
    </row>
    <row r="227" customFormat="false" ht="15.75" hidden="false" customHeight="false" outlineLevel="0" collapsed="false">
      <c r="A227" s="53"/>
      <c r="B227" s="9"/>
      <c r="C227" s="9"/>
      <c r="D227" s="9"/>
    </row>
    <row r="228" customFormat="false" ht="15.75" hidden="false" customHeight="false" outlineLevel="0" collapsed="false">
      <c r="A228" s="53"/>
      <c r="B228" s="9"/>
      <c r="C228" s="9"/>
      <c r="D228" s="9"/>
    </row>
    <row r="229" customFormat="false" ht="15.75" hidden="false" customHeight="false" outlineLevel="0" collapsed="false">
      <c r="A229" s="53"/>
      <c r="B229" s="9"/>
      <c r="C229" s="9"/>
      <c r="D229" s="9"/>
    </row>
    <row r="230" customFormat="false" ht="15.75" hidden="false" customHeight="false" outlineLevel="0" collapsed="false">
      <c r="A230" s="53"/>
      <c r="B230" s="9"/>
      <c r="C230" s="9"/>
      <c r="D230" s="9"/>
    </row>
    <row r="231" customFormat="false" ht="15.75" hidden="false" customHeight="false" outlineLevel="0" collapsed="false">
      <c r="A231" s="53"/>
      <c r="B231" s="9"/>
      <c r="C231" s="9"/>
      <c r="D231" s="9"/>
    </row>
    <row r="232" customFormat="false" ht="15.75" hidden="false" customHeight="false" outlineLevel="0" collapsed="false">
      <c r="A232" s="53"/>
      <c r="B232" s="9"/>
      <c r="C232" s="9"/>
      <c r="D232" s="9"/>
    </row>
    <row r="233" customFormat="false" ht="15.75" hidden="false" customHeight="false" outlineLevel="0" collapsed="false">
      <c r="A233" s="53"/>
      <c r="B233" s="9"/>
      <c r="C233" s="9"/>
      <c r="D233" s="9"/>
    </row>
    <row r="234" customFormat="false" ht="15.75" hidden="false" customHeight="false" outlineLevel="0" collapsed="false">
      <c r="A234" s="53"/>
      <c r="B234" s="9"/>
      <c r="C234" s="9"/>
      <c r="D234" s="9"/>
    </row>
    <row r="235" customFormat="false" ht="15.75" hidden="false" customHeight="false" outlineLevel="0" collapsed="false">
      <c r="A235" s="53"/>
      <c r="B235" s="9"/>
      <c r="C235" s="9"/>
      <c r="D235" s="9"/>
    </row>
    <row r="236" customFormat="false" ht="15.75" hidden="false" customHeight="false" outlineLevel="0" collapsed="false">
      <c r="A236" s="53"/>
      <c r="B236" s="9"/>
      <c r="C236" s="9"/>
      <c r="D236" s="9"/>
    </row>
    <row r="237" customFormat="false" ht="15.75" hidden="false" customHeight="false" outlineLevel="0" collapsed="false">
      <c r="A237" s="53"/>
      <c r="B237" s="9"/>
      <c r="C237" s="9"/>
      <c r="D237" s="9"/>
    </row>
    <row r="238" customFormat="false" ht="15.75" hidden="false" customHeight="false" outlineLevel="0" collapsed="false">
      <c r="A238" s="53"/>
      <c r="B238" s="9"/>
      <c r="C238" s="9"/>
      <c r="D238" s="9"/>
    </row>
    <row r="239" customFormat="false" ht="15.75" hidden="false" customHeight="false" outlineLevel="0" collapsed="false">
      <c r="A239" s="53"/>
      <c r="B239" s="9"/>
      <c r="C239" s="9"/>
      <c r="D239" s="9"/>
    </row>
    <row r="240" customFormat="false" ht="15.75" hidden="false" customHeight="false" outlineLevel="0" collapsed="false">
      <c r="A240" s="53"/>
      <c r="B240" s="9"/>
      <c r="C240" s="9"/>
      <c r="D240" s="9"/>
    </row>
    <row r="241" customFormat="false" ht="15.75" hidden="false" customHeight="false" outlineLevel="0" collapsed="false">
      <c r="A241" s="53"/>
      <c r="B241" s="9"/>
      <c r="C241" s="9"/>
      <c r="D241" s="9"/>
    </row>
    <row r="242" customFormat="false" ht="15.75" hidden="false" customHeight="false" outlineLevel="0" collapsed="false">
      <c r="A242" s="53"/>
      <c r="B242" s="9"/>
      <c r="C242" s="9"/>
      <c r="D242" s="9"/>
    </row>
    <row r="243" customFormat="false" ht="15.75" hidden="false" customHeight="false" outlineLevel="0" collapsed="false">
      <c r="A243" s="53"/>
      <c r="B243" s="9"/>
      <c r="C243" s="9"/>
      <c r="D243" s="9"/>
    </row>
    <row r="244" customFormat="false" ht="15.75" hidden="false" customHeight="false" outlineLevel="0" collapsed="false">
      <c r="A244" s="53"/>
      <c r="B244" s="9"/>
      <c r="C244" s="9"/>
      <c r="D244" s="9"/>
    </row>
    <row r="245" customFormat="false" ht="15.75" hidden="false" customHeight="false" outlineLevel="0" collapsed="false">
      <c r="A245" s="53"/>
      <c r="B245" s="9"/>
      <c r="C245" s="9"/>
      <c r="D245" s="9"/>
    </row>
    <row r="246" customFormat="false" ht="15.75" hidden="false" customHeight="false" outlineLevel="0" collapsed="false">
      <c r="A246" s="53"/>
      <c r="B246" s="9"/>
      <c r="C246" s="9"/>
      <c r="D246" s="9"/>
    </row>
    <row r="247" customFormat="false" ht="15.75" hidden="false" customHeight="false" outlineLevel="0" collapsed="false">
      <c r="A247" s="53"/>
      <c r="B247" s="9"/>
      <c r="C247" s="9"/>
      <c r="D247" s="9"/>
    </row>
    <row r="248" customFormat="false" ht="15.75" hidden="false" customHeight="false" outlineLevel="0" collapsed="false">
      <c r="A248" s="53"/>
      <c r="B248" s="9"/>
      <c r="C248" s="9"/>
      <c r="D248" s="9"/>
    </row>
    <row r="249" customFormat="false" ht="15.75" hidden="false" customHeight="false" outlineLevel="0" collapsed="false">
      <c r="A249" s="53"/>
      <c r="B249" s="9"/>
      <c r="C249" s="9"/>
      <c r="D249" s="9"/>
    </row>
    <row r="250" customFormat="false" ht="15.75" hidden="false" customHeight="false" outlineLevel="0" collapsed="false">
      <c r="A250" s="53"/>
      <c r="B250" s="9"/>
      <c r="C250" s="9"/>
      <c r="D250" s="9"/>
    </row>
    <row r="251" customFormat="false" ht="15.75" hidden="false" customHeight="false" outlineLevel="0" collapsed="false">
      <c r="A251" s="53"/>
      <c r="B251" s="9"/>
      <c r="C251" s="9"/>
      <c r="D251" s="9"/>
    </row>
    <row r="252" customFormat="false" ht="15.75" hidden="false" customHeight="false" outlineLevel="0" collapsed="false">
      <c r="A252" s="53"/>
      <c r="B252" s="9"/>
      <c r="C252" s="9"/>
      <c r="D252" s="9"/>
    </row>
    <row r="253" customFormat="false" ht="15.75" hidden="false" customHeight="false" outlineLevel="0" collapsed="false">
      <c r="A253" s="53"/>
      <c r="B253" s="9"/>
      <c r="C253" s="9"/>
      <c r="D253" s="9"/>
    </row>
    <row r="254" customFormat="false" ht="15.75" hidden="false" customHeight="false" outlineLevel="0" collapsed="false">
      <c r="A254" s="53"/>
      <c r="B254" s="9"/>
      <c r="C254" s="9"/>
      <c r="D254" s="9"/>
    </row>
    <row r="255" customFormat="false" ht="15.75" hidden="false" customHeight="false" outlineLevel="0" collapsed="false">
      <c r="A255" s="53"/>
      <c r="B255" s="9"/>
      <c r="C255" s="9"/>
      <c r="D255" s="9"/>
    </row>
    <row r="256" customFormat="false" ht="15.75" hidden="false" customHeight="false" outlineLevel="0" collapsed="false">
      <c r="A256" s="53"/>
      <c r="B256" s="9"/>
      <c r="C256" s="9"/>
      <c r="D256" s="9"/>
    </row>
    <row r="257" customFormat="false" ht="15.75" hidden="false" customHeight="false" outlineLevel="0" collapsed="false">
      <c r="A257" s="53"/>
      <c r="B257" s="9"/>
      <c r="C257" s="9"/>
      <c r="D257" s="9"/>
    </row>
    <row r="258" customFormat="false" ht="15.75" hidden="false" customHeight="false" outlineLevel="0" collapsed="false">
      <c r="A258" s="53"/>
      <c r="B258" s="9"/>
      <c r="C258" s="9"/>
      <c r="D258" s="9"/>
    </row>
    <row r="259" customFormat="false" ht="15.75" hidden="false" customHeight="false" outlineLevel="0" collapsed="false">
      <c r="A259" s="53"/>
      <c r="B259" s="9"/>
      <c r="C259" s="9"/>
      <c r="D259" s="9"/>
    </row>
    <row r="260" customFormat="false" ht="15.75" hidden="false" customHeight="false" outlineLevel="0" collapsed="false">
      <c r="A260" s="53"/>
      <c r="B260" s="9"/>
      <c r="C260" s="9"/>
      <c r="D260" s="9"/>
    </row>
    <row r="261" customFormat="false" ht="15.75" hidden="false" customHeight="false" outlineLevel="0" collapsed="false">
      <c r="A261" s="53"/>
      <c r="B261" s="9"/>
      <c r="C261" s="9"/>
      <c r="D261" s="9"/>
    </row>
    <row r="262" customFormat="false" ht="15.75" hidden="false" customHeight="false" outlineLevel="0" collapsed="false">
      <c r="A262" s="53"/>
      <c r="B262" s="9"/>
      <c r="C262" s="9"/>
      <c r="D262" s="9"/>
    </row>
    <row r="263" customFormat="false" ht="15.75" hidden="false" customHeight="false" outlineLevel="0" collapsed="false">
      <c r="A263" s="53"/>
      <c r="B263" s="9"/>
      <c r="C263" s="9"/>
      <c r="D263" s="9"/>
    </row>
    <row r="264" customFormat="false" ht="15.75" hidden="false" customHeight="false" outlineLevel="0" collapsed="false">
      <c r="A264" s="53"/>
      <c r="B264" s="9"/>
      <c r="C264" s="9"/>
      <c r="D264" s="9"/>
    </row>
    <row r="265" customFormat="false" ht="15.75" hidden="false" customHeight="false" outlineLevel="0" collapsed="false">
      <c r="A265" s="53"/>
      <c r="B265" s="9"/>
      <c r="C265" s="9"/>
      <c r="D265" s="9"/>
    </row>
    <row r="266" customFormat="false" ht="15.75" hidden="false" customHeight="false" outlineLevel="0" collapsed="false">
      <c r="A266" s="53"/>
      <c r="B266" s="9"/>
      <c r="C266" s="9"/>
      <c r="D266" s="9"/>
    </row>
    <row r="267" customFormat="false" ht="15.75" hidden="false" customHeight="false" outlineLevel="0" collapsed="false">
      <c r="A267" s="53"/>
      <c r="B267" s="9"/>
      <c r="C267" s="9"/>
      <c r="D267" s="9"/>
    </row>
    <row r="268" customFormat="false" ht="15.75" hidden="false" customHeight="false" outlineLevel="0" collapsed="false">
      <c r="A268" s="53"/>
      <c r="B268" s="9"/>
      <c r="C268" s="9"/>
      <c r="D268" s="9"/>
    </row>
    <row r="269" customFormat="false" ht="15.75" hidden="false" customHeight="false" outlineLevel="0" collapsed="false">
      <c r="A269" s="53"/>
      <c r="B269" s="9"/>
      <c r="C269" s="9"/>
      <c r="D269" s="9"/>
    </row>
    <row r="270" customFormat="false" ht="15.75" hidden="false" customHeight="false" outlineLevel="0" collapsed="false">
      <c r="A270" s="53"/>
      <c r="B270" s="9"/>
      <c r="C270" s="9"/>
      <c r="D270" s="9"/>
    </row>
    <row r="271" customFormat="false" ht="15.75" hidden="false" customHeight="false" outlineLevel="0" collapsed="false">
      <c r="A271" s="53"/>
      <c r="B271" s="9"/>
      <c r="C271" s="9"/>
      <c r="D271" s="9"/>
    </row>
    <row r="272" customFormat="false" ht="15.75" hidden="false" customHeight="false" outlineLevel="0" collapsed="false">
      <c r="A272" s="53"/>
      <c r="B272" s="9"/>
      <c r="C272" s="9"/>
      <c r="D272" s="9"/>
    </row>
    <row r="273" customFormat="false" ht="15.75" hidden="false" customHeight="false" outlineLevel="0" collapsed="false">
      <c r="A273" s="53"/>
      <c r="B273" s="9"/>
      <c r="C273" s="9"/>
      <c r="D273" s="9"/>
    </row>
    <row r="274" customFormat="false" ht="15.75" hidden="false" customHeight="false" outlineLevel="0" collapsed="false">
      <c r="A274" s="53"/>
      <c r="B274" s="9"/>
      <c r="C274" s="9"/>
      <c r="D274" s="9"/>
    </row>
    <row r="275" customFormat="false" ht="15.75" hidden="false" customHeight="false" outlineLevel="0" collapsed="false">
      <c r="A275" s="53"/>
      <c r="B275" s="9"/>
      <c r="C275" s="9"/>
      <c r="D275" s="9"/>
    </row>
    <row r="276" customFormat="false" ht="15.75" hidden="false" customHeight="false" outlineLevel="0" collapsed="false">
      <c r="A276" s="53"/>
      <c r="B276" s="9"/>
      <c r="C276" s="9"/>
      <c r="D276" s="9"/>
    </row>
    <row r="277" customFormat="false" ht="15.75" hidden="false" customHeight="false" outlineLevel="0" collapsed="false">
      <c r="A277" s="53"/>
      <c r="B277" s="9"/>
      <c r="C277" s="9"/>
      <c r="D277" s="9"/>
    </row>
    <row r="278" customFormat="false" ht="15.75" hidden="false" customHeight="false" outlineLevel="0" collapsed="false">
      <c r="A278" s="53"/>
      <c r="B278" s="9"/>
      <c r="C278" s="9"/>
      <c r="D278" s="9"/>
    </row>
    <row r="279" customFormat="false" ht="15.75" hidden="false" customHeight="false" outlineLevel="0" collapsed="false">
      <c r="A279" s="53"/>
      <c r="B279" s="9"/>
      <c r="C279" s="9"/>
      <c r="D279" s="9"/>
    </row>
    <row r="280" customFormat="false" ht="15.75" hidden="false" customHeight="false" outlineLevel="0" collapsed="false">
      <c r="A280" s="53"/>
      <c r="B280" s="9"/>
      <c r="C280" s="9"/>
      <c r="D280" s="9"/>
    </row>
    <row r="281" customFormat="false" ht="15.75" hidden="false" customHeight="false" outlineLevel="0" collapsed="false">
      <c r="A281" s="53"/>
      <c r="B281" s="9"/>
      <c r="C281" s="9"/>
      <c r="D281" s="9"/>
    </row>
    <row r="282" customFormat="false" ht="15.75" hidden="false" customHeight="false" outlineLevel="0" collapsed="false">
      <c r="A282" s="53"/>
      <c r="B282" s="9"/>
      <c r="C282" s="9"/>
      <c r="D282" s="9"/>
    </row>
    <row r="283" customFormat="false" ht="15.75" hidden="false" customHeight="false" outlineLevel="0" collapsed="false">
      <c r="A283" s="53"/>
      <c r="B283" s="9"/>
      <c r="C283" s="9"/>
      <c r="D283" s="9"/>
    </row>
    <row r="284" customFormat="false" ht="15.75" hidden="false" customHeight="false" outlineLevel="0" collapsed="false">
      <c r="A284" s="53"/>
      <c r="B284" s="9"/>
      <c r="C284" s="9"/>
      <c r="D284" s="9"/>
    </row>
    <row r="285" customFormat="false" ht="15.75" hidden="false" customHeight="false" outlineLevel="0" collapsed="false">
      <c r="A285" s="53"/>
      <c r="B285" s="9"/>
      <c r="C285" s="9"/>
      <c r="D285" s="9"/>
    </row>
    <row r="286" customFormat="false" ht="15.75" hidden="false" customHeight="false" outlineLevel="0" collapsed="false">
      <c r="A286" s="53"/>
      <c r="B286" s="9"/>
      <c r="C286" s="9"/>
      <c r="D286" s="9"/>
    </row>
    <row r="287" customFormat="false" ht="15.75" hidden="false" customHeight="false" outlineLevel="0" collapsed="false">
      <c r="A287" s="53"/>
      <c r="B287" s="9"/>
      <c r="C287" s="9"/>
      <c r="D287" s="9"/>
    </row>
    <row r="288" customFormat="false" ht="15.75" hidden="false" customHeight="false" outlineLevel="0" collapsed="false">
      <c r="A288" s="53"/>
      <c r="B288" s="9"/>
      <c r="C288" s="9"/>
      <c r="D288" s="9"/>
    </row>
    <row r="289" customFormat="false" ht="15.75" hidden="false" customHeight="false" outlineLevel="0" collapsed="false">
      <c r="A289" s="53"/>
      <c r="B289" s="9"/>
      <c r="C289" s="9"/>
      <c r="D289" s="9"/>
    </row>
    <row r="290" customFormat="false" ht="15.75" hidden="false" customHeight="false" outlineLevel="0" collapsed="false">
      <c r="A290" s="53"/>
      <c r="B290" s="9"/>
      <c r="C290" s="9"/>
      <c r="D290" s="9"/>
    </row>
    <row r="291" customFormat="false" ht="15.75" hidden="false" customHeight="false" outlineLevel="0" collapsed="false">
      <c r="A291" s="53"/>
      <c r="B291" s="9"/>
      <c r="C291" s="9"/>
      <c r="D291" s="9"/>
    </row>
    <row r="292" customFormat="false" ht="15.75" hidden="false" customHeight="false" outlineLevel="0" collapsed="false">
      <c r="A292" s="53"/>
      <c r="B292" s="9"/>
      <c r="C292" s="9"/>
      <c r="D292" s="9"/>
    </row>
    <row r="293" customFormat="false" ht="15.75" hidden="false" customHeight="false" outlineLevel="0" collapsed="false">
      <c r="A293" s="53"/>
      <c r="B293" s="9"/>
      <c r="C293" s="9"/>
      <c r="D293" s="9"/>
    </row>
    <row r="294" customFormat="false" ht="15.75" hidden="false" customHeight="false" outlineLevel="0" collapsed="false">
      <c r="A294" s="53"/>
      <c r="B294" s="9"/>
      <c r="C294" s="9"/>
      <c r="D294" s="9"/>
    </row>
    <row r="295" customFormat="false" ht="15.75" hidden="false" customHeight="false" outlineLevel="0" collapsed="false">
      <c r="A295" s="53"/>
      <c r="B295" s="9"/>
      <c r="C295" s="9"/>
      <c r="D295" s="9"/>
    </row>
    <row r="296" customFormat="false" ht="15.75" hidden="false" customHeight="false" outlineLevel="0" collapsed="false">
      <c r="A296" s="53"/>
      <c r="B296" s="9"/>
      <c r="C296" s="9"/>
      <c r="D296" s="9"/>
    </row>
    <row r="297" customFormat="false" ht="15.75" hidden="false" customHeight="false" outlineLevel="0" collapsed="false">
      <c r="A297" s="53"/>
      <c r="B297" s="9"/>
      <c r="C297" s="9"/>
      <c r="D297" s="9"/>
    </row>
    <row r="298" customFormat="false" ht="15.75" hidden="false" customHeight="false" outlineLevel="0" collapsed="false">
      <c r="A298" s="53"/>
      <c r="B298" s="9"/>
      <c r="C298" s="9"/>
      <c r="D298" s="9"/>
    </row>
    <row r="299" customFormat="false" ht="15.75" hidden="false" customHeight="false" outlineLevel="0" collapsed="false">
      <c r="A299" s="53"/>
      <c r="B299" s="9"/>
      <c r="C299" s="9"/>
      <c r="D299" s="9"/>
    </row>
    <row r="300" customFormat="false" ht="15.75" hidden="false" customHeight="false" outlineLevel="0" collapsed="false">
      <c r="A300" s="53"/>
      <c r="B300" s="9"/>
      <c r="C300" s="9"/>
      <c r="D300" s="9"/>
    </row>
    <row r="301" customFormat="false" ht="15.75" hidden="false" customHeight="false" outlineLevel="0" collapsed="false">
      <c r="A301" s="53"/>
      <c r="B301" s="9"/>
      <c r="C301" s="9"/>
      <c r="D301" s="9"/>
    </row>
    <row r="302" customFormat="false" ht="15.75" hidden="false" customHeight="false" outlineLevel="0" collapsed="false">
      <c r="A302" s="53"/>
      <c r="B302" s="9"/>
      <c r="C302" s="9"/>
      <c r="D302" s="9"/>
    </row>
    <row r="303" customFormat="false" ht="15.75" hidden="false" customHeight="false" outlineLevel="0" collapsed="false">
      <c r="A303" s="53"/>
      <c r="B303" s="9"/>
      <c r="C303" s="9"/>
      <c r="D303" s="9"/>
    </row>
    <row r="304" customFormat="false" ht="15.75" hidden="false" customHeight="false" outlineLevel="0" collapsed="false">
      <c r="A304" s="53"/>
      <c r="B304" s="9"/>
      <c r="C304" s="9"/>
      <c r="D304" s="9"/>
    </row>
    <row r="305" customFormat="false" ht="15.75" hidden="false" customHeight="false" outlineLevel="0" collapsed="false">
      <c r="A305" s="53"/>
      <c r="B305" s="9"/>
      <c r="C305" s="9"/>
      <c r="D305" s="9"/>
    </row>
    <row r="306" customFormat="false" ht="15.75" hidden="false" customHeight="false" outlineLevel="0" collapsed="false">
      <c r="A306" s="53"/>
      <c r="B306" s="9"/>
      <c r="C306" s="9"/>
      <c r="D306" s="9"/>
    </row>
    <row r="307" customFormat="false" ht="15.75" hidden="false" customHeight="false" outlineLevel="0" collapsed="false">
      <c r="A307" s="53"/>
      <c r="B307" s="9"/>
      <c r="C307" s="9"/>
      <c r="D307" s="9"/>
    </row>
    <row r="308" customFormat="false" ht="15.75" hidden="false" customHeight="false" outlineLevel="0" collapsed="false">
      <c r="A308" s="53"/>
      <c r="B308" s="9"/>
      <c r="C308" s="9"/>
      <c r="D308" s="9"/>
    </row>
    <row r="309" customFormat="false" ht="15.75" hidden="false" customHeight="false" outlineLevel="0" collapsed="false">
      <c r="A309" s="53"/>
      <c r="B309" s="9"/>
      <c r="C309" s="9"/>
      <c r="D309" s="9"/>
    </row>
    <row r="310" customFormat="false" ht="15.75" hidden="false" customHeight="false" outlineLevel="0" collapsed="false">
      <c r="A310" s="53"/>
      <c r="B310" s="9"/>
      <c r="C310" s="9"/>
      <c r="D310" s="9"/>
    </row>
    <row r="311" customFormat="false" ht="15.75" hidden="false" customHeight="false" outlineLevel="0" collapsed="false">
      <c r="A311" s="53"/>
      <c r="B311" s="9"/>
      <c r="C311" s="9"/>
      <c r="D311" s="9"/>
    </row>
    <row r="312" customFormat="false" ht="15.75" hidden="false" customHeight="false" outlineLevel="0" collapsed="false">
      <c r="A312" s="53"/>
      <c r="B312" s="9"/>
      <c r="C312" s="9"/>
      <c r="D312" s="9"/>
    </row>
    <row r="313" customFormat="false" ht="15.75" hidden="false" customHeight="false" outlineLevel="0" collapsed="false">
      <c r="A313" s="53"/>
      <c r="B313" s="9"/>
      <c r="C313" s="9"/>
      <c r="D313" s="9"/>
    </row>
    <row r="314" customFormat="false" ht="15.75" hidden="false" customHeight="false" outlineLevel="0" collapsed="false">
      <c r="A314" s="53"/>
      <c r="B314" s="9"/>
      <c r="C314" s="9"/>
      <c r="D314" s="9"/>
    </row>
    <row r="315" customFormat="false" ht="15.75" hidden="false" customHeight="false" outlineLevel="0" collapsed="false">
      <c r="A315" s="53"/>
      <c r="B315" s="9"/>
      <c r="C315" s="9"/>
      <c r="D315" s="9"/>
    </row>
    <row r="316" customFormat="false" ht="15.75" hidden="false" customHeight="false" outlineLevel="0" collapsed="false">
      <c r="A316" s="53"/>
      <c r="B316" s="9"/>
      <c r="C316" s="9"/>
      <c r="D316" s="9"/>
    </row>
    <row r="317" customFormat="false" ht="15.75" hidden="false" customHeight="false" outlineLevel="0" collapsed="false">
      <c r="A317" s="53"/>
      <c r="B317" s="9"/>
      <c r="C317" s="9"/>
      <c r="D317" s="9"/>
    </row>
    <row r="318" customFormat="false" ht="15.75" hidden="false" customHeight="false" outlineLevel="0" collapsed="false">
      <c r="A318" s="53"/>
      <c r="B318" s="9"/>
      <c r="C318" s="9"/>
      <c r="D318" s="9"/>
    </row>
    <row r="319" customFormat="false" ht="15.75" hidden="false" customHeight="false" outlineLevel="0" collapsed="false">
      <c r="A319" s="53"/>
      <c r="B319" s="9"/>
      <c r="C319" s="9"/>
      <c r="D319" s="9"/>
    </row>
    <row r="320" customFormat="false" ht="15.75" hidden="false" customHeight="false" outlineLevel="0" collapsed="false">
      <c r="A320" s="53"/>
      <c r="B320" s="9"/>
      <c r="C320" s="9"/>
      <c r="D320" s="9"/>
    </row>
    <row r="321" customFormat="false" ht="15.75" hidden="false" customHeight="false" outlineLevel="0" collapsed="false">
      <c r="A321" s="53"/>
      <c r="B321" s="9"/>
      <c r="C321" s="9"/>
      <c r="D321" s="9"/>
    </row>
    <row r="322" customFormat="false" ht="15.75" hidden="false" customHeight="false" outlineLevel="0" collapsed="false">
      <c r="A322" s="53"/>
      <c r="B322" s="9"/>
      <c r="C322" s="9"/>
      <c r="D322" s="9"/>
    </row>
    <row r="323" customFormat="false" ht="15.75" hidden="false" customHeight="false" outlineLevel="0" collapsed="false">
      <c r="A323" s="53"/>
      <c r="B323" s="9"/>
      <c r="C323" s="9"/>
      <c r="D323" s="9"/>
    </row>
    <row r="324" customFormat="false" ht="15.75" hidden="false" customHeight="false" outlineLevel="0" collapsed="false">
      <c r="A324" s="53"/>
      <c r="B324" s="9"/>
      <c r="C324" s="9"/>
      <c r="D324" s="9"/>
    </row>
    <row r="325" customFormat="false" ht="15.75" hidden="false" customHeight="false" outlineLevel="0" collapsed="false">
      <c r="A325" s="53"/>
      <c r="B325" s="9"/>
      <c r="C325" s="9"/>
      <c r="D325" s="9"/>
    </row>
    <row r="326" customFormat="false" ht="15.75" hidden="false" customHeight="false" outlineLevel="0" collapsed="false">
      <c r="A326" s="53"/>
      <c r="B326" s="9"/>
      <c r="C326" s="9"/>
      <c r="D326" s="9"/>
    </row>
    <row r="327" customFormat="false" ht="15.75" hidden="false" customHeight="false" outlineLevel="0" collapsed="false">
      <c r="A327" s="53"/>
      <c r="B327" s="9"/>
      <c r="C327" s="9"/>
      <c r="D327" s="9"/>
    </row>
    <row r="328" customFormat="false" ht="15.75" hidden="false" customHeight="false" outlineLevel="0" collapsed="false">
      <c r="A328" s="53"/>
      <c r="B328" s="9"/>
      <c r="C328" s="9"/>
      <c r="D328" s="9"/>
    </row>
    <row r="329" customFormat="false" ht="15.75" hidden="false" customHeight="false" outlineLevel="0" collapsed="false">
      <c r="A329" s="53"/>
      <c r="B329" s="9"/>
      <c r="C329" s="9"/>
      <c r="D329" s="9"/>
    </row>
    <row r="330" customFormat="false" ht="15.75" hidden="false" customHeight="false" outlineLevel="0" collapsed="false">
      <c r="A330" s="53"/>
      <c r="B330" s="9"/>
      <c r="C330" s="9"/>
      <c r="D330" s="9"/>
    </row>
    <row r="331" customFormat="false" ht="15.75" hidden="false" customHeight="false" outlineLevel="0" collapsed="false">
      <c r="A331" s="53"/>
      <c r="B331" s="9"/>
      <c r="C331" s="9"/>
      <c r="D331" s="9"/>
    </row>
    <row r="332" customFormat="false" ht="15.75" hidden="false" customHeight="false" outlineLevel="0" collapsed="false">
      <c r="A332" s="53"/>
      <c r="B332" s="9"/>
      <c r="C332" s="9"/>
      <c r="D332" s="9"/>
    </row>
    <row r="333" customFormat="false" ht="15.75" hidden="false" customHeight="false" outlineLevel="0" collapsed="false">
      <c r="A333" s="53"/>
      <c r="B333" s="9"/>
      <c r="C333" s="9"/>
      <c r="D333" s="9"/>
    </row>
    <row r="334" customFormat="false" ht="15.75" hidden="false" customHeight="false" outlineLevel="0" collapsed="false">
      <c r="A334" s="53"/>
      <c r="B334" s="9"/>
      <c r="C334" s="9"/>
      <c r="D334" s="9"/>
    </row>
    <row r="335" customFormat="false" ht="15.75" hidden="false" customHeight="false" outlineLevel="0" collapsed="false">
      <c r="A335" s="53"/>
      <c r="B335" s="9"/>
      <c r="C335" s="9"/>
      <c r="D335" s="9"/>
    </row>
    <row r="336" customFormat="false" ht="15.75" hidden="false" customHeight="false" outlineLevel="0" collapsed="false">
      <c r="A336" s="53"/>
      <c r="B336" s="9"/>
      <c r="C336" s="9"/>
      <c r="D336" s="9"/>
    </row>
    <row r="337" customFormat="false" ht="15.75" hidden="false" customHeight="false" outlineLevel="0" collapsed="false">
      <c r="A337" s="53"/>
      <c r="B337" s="9"/>
      <c r="C337" s="9"/>
      <c r="D337" s="9"/>
    </row>
    <row r="338" customFormat="false" ht="15.75" hidden="false" customHeight="false" outlineLevel="0" collapsed="false">
      <c r="A338" s="53"/>
      <c r="B338" s="9"/>
      <c r="C338" s="9"/>
      <c r="D338" s="9"/>
    </row>
    <row r="339" customFormat="false" ht="15.75" hidden="false" customHeight="false" outlineLevel="0" collapsed="false">
      <c r="A339" s="53"/>
      <c r="B339" s="9"/>
      <c r="C339" s="9"/>
      <c r="D339" s="9"/>
    </row>
    <row r="340" customFormat="false" ht="15.75" hidden="false" customHeight="false" outlineLevel="0" collapsed="false">
      <c r="A340" s="53"/>
      <c r="B340" s="9"/>
      <c r="C340" s="9"/>
      <c r="D340" s="9"/>
    </row>
    <row r="341" customFormat="false" ht="15.75" hidden="false" customHeight="false" outlineLevel="0" collapsed="false">
      <c r="A341" s="53"/>
      <c r="B341" s="9"/>
      <c r="C341" s="9"/>
      <c r="D341" s="9"/>
    </row>
    <row r="342" customFormat="false" ht="15.75" hidden="false" customHeight="false" outlineLevel="0" collapsed="false">
      <c r="A342" s="53"/>
      <c r="B342" s="9"/>
      <c r="C342" s="9"/>
      <c r="D342" s="9"/>
    </row>
    <row r="343" customFormat="false" ht="15.75" hidden="false" customHeight="false" outlineLevel="0" collapsed="false">
      <c r="A343" s="53"/>
      <c r="B343" s="9"/>
      <c r="C343" s="9"/>
      <c r="D343" s="9"/>
    </row>
    <row r="344" customFormat="false" ht="15.75" hidden="false" customHeight="false" outlineLevel="0" collapsed="false">
      <c r="A344" s="53"/>
      <c r="B344" s="9"/>
      <c r="C344" s="9"/>
      <c r="D344" s="9"/>
    </row>
    <row r="345" customFormat="false" ht="15.75" hidden="false" customHeight="false" outlineLevel="0" collapsed="false">
      <c r="A345" s="53"/>
      <c r="B345" s="9"/>
      <c r="C345" s="9"/>
      <c r="D345" s="9"/>
    </row>
    <row r="346" customFormat="false" ht="15.75" hidden="false" customHeight="false" outlineLevel="0" collapsed="false">
      <c r="A346" s="53"/>
      <c r="B346" s="9"/>
      <c r="C346" s="9"/>
      <c r="D346" s="9"/>
    </row>
    <row r="347" customFormat="false" ht="15.75" hidden="false" customHeight="false" outlineLevel="0" collapsed="false">
      <c r="A347" s="53"/>
      <c r="B347" s="9"/>
      <c r="C347" s="9"/>
      <c r="D347" s="9"/>
    </row>
    <row r="348" customFormat="false" ht="15.75" hidden="false" customHeight="false" outlineLevel="0" collapsed="false">
      <c r="A348" s="53"/>
      <c r="B348" s="9"/>
      <c r="C348" s="9"/>
      <c r="D348" s="9"/>
    </row>
    <row r="349" customFormat="false" ht="15.75" hidden="false" customHeight="false" outlineLevel="0" collapsed="false">
      <c r="A349" s="53"/>
      <c r="B349" s="9"/>
      <c r="C349" s="9"/>
      <c r="D349" s="9"/>
    </row>
    <row r="350" customFormat="false" ht="15.75" hidden="false" customHeight="false" outlineLevel="0" collapsed="false">
      <c r="A350" s="53"/>
      <c r="B350" s="9"/>
      <c r="C350" s="9"/>
      <c r="D350" s="9"/>
    </row>
    <row r="351" customFormat="false" ht="15.75" hidden="false" customHeight="false" outlineLevel="0" collapsed="false">
      <c r="A351" s="53"/>
      <c r="B351" s="9"/>
      <c r="C351" s="9"/>
      <c r="D351" s="9"/>
    </row>
    <row r="352" customFormat="false" ht="15.75" hidden="false" customHeight="false" outlineLevel="0" collapsed="false">
      <c r="A352" s="53"/>
      <c r="B352" s="9"/>
      <c r="C352" s="9"/>
      <c r="D352" s="9"/>
    </row>
    <row r="353" customFormat="false" ht="15.75" hidden="false" customHeight="false" outlineLevel="0" collapsed="false">
      <c r="A353" s="53"/>
      <c r="B353" s="9"/>
      <c r="C353" s="9"/>
      <c r="D353" s="9"/>
    </row>
    <row r="354" customFormat="false" ht="15.75" hidden="false" customHeight="false" outlineLevel="0" collapsed="false">
      <c r="A354" s="53"/>
      <c r="B354" s="9"/>
      <c r="C354" s="9"/>
      <c r="D354" s="9"/>
    </row>
    <row r="355" customFormat="false" ht="15.75" hidden="false" customHeight="false" outlineLevel="0" collapsed="false">
      <c r="A355" s="53"/>
      <c r="B355" s="9"/>
      <c r="C355" s="9"/>
      <c r="D355" s="9"/>
    </row>
    <row r="356" customFormat="false" ht="15.75" hidden="false" customHeight="false" outlineLevel="0" collapsed="false">
      <c r="A356" s="53"/>
      <c r="B356" s="9"/>
      <c r="C356" s="9"/>
      <c r="D356" s="9"/>
    </row>
    <row r="357" customFormat="false" ht="15.75" hidden="false" customHeight="false" outlineLevel="0" collapsed="false">
      <c r="A357" s="53"/>
      <c r="B357" s="9"/>
      <c r="C357" s="9"/>
      <c r="D357" s="9"/>
    </row>
    <row r="358" customFormat="false" ht="15.75" hidden="false" customHeight="false" outlineLevel="0" collapsed="false">
      <c r="A358" s="53"/>
      <c r="B358" s="9"/>
      <c r="C358" s="9"/>
      <c r="D358" s="9"/>
    </row>
    <row r="359" customFormat="false" ht="15.75" hidden="false" customHeight="false" outlineLevel="0" collapsed="false">
      <c r="A359" s="53"/>
      <c r="B359" s="9"/>
      <c r="C359" s="9"/>
      <c r="D359" s="9"/>
    </row>
    <row r="360" customFormat="false" ht="15.75" hidden="false" customHeight="false" outlineLevel="0" collapsed="false">
      <c r="A360" s="53"/>
      <c r="B360" s="9"/>
      <c r="C360" s="9"/>
      <c r="D360" s="9"/>
    </row>
    <row r="361" customFormat="false" ht="15.75" hidden="false" customHeight="false" outlineLevel="0" collapsed="false">
      <c r="A361" s="53"/>
      <c r="B361" s="9"/>
      <c r="C361" s="9"/>
      <c r="D361" s="9"/>
    </row>
    <row r="362" customFormat="false" ht="15.75" hidden="false" customHeight="false" outlineLevel="0" collapsed="false">
      <c r="A362" s="53"/>
      <c r="B362" s="9"/>
      <c r="C362" s="9"/>
      <c r="D362" s="9"/>
    </row>
    <row r="363" customFormat="false" ht="15.75" hidden="false" customHeight="false" outlineLevel="0" collapsed="false">
      <c r="A363" s="53"/>
      <c r="B363" s="9"/>
      <c r="C363" s="9"/>
      <c r="D363" s="9"/>
    </row>
    <row r="364" customFormat="false" ht="15.75" hidden="false" customHeight="false" outlineLevel="0" collapsed="false">
      <c r="A364" s="53"/>
      <c r="B364" s="9"/>
      <c r="C364" s="9"/>
      <c r="D364" s="9"/>
    </row>
    <row r="365" customFormat="false" ht="15.75" hidden="false" customHeight="false" outlineLevel="0" collapsed="false">
      <c r="A365" s="53"/>
      <c r="B365" s="9"/>
      <c r="C365" s="9"/>
      <c r="D365" s="9"/>
    </row>
    <row r="366" customFormat="false" ht="15.75" hidden="false" customHeight="false" outlineLevel="0" collapsed="false">
      <c r="A366" s="53"/>
      <c r="B366" s="9"/>
      <c r="C366" s="9"/>
      <c r="D366" s="9"/>
    </row>
    <row r="367" customFormat="false" ht="15.75" hidden="false" customHeight="false" outlineLevel="0" collapsed="false">
      <c r="A367" s="53"/>
      <c r="B367" s="9"/>
      <c r="C367" s="9"/>
      <c r="D367" s="9"/>
    </row>
    <row r="368" customFormat="false" ht="15.75" hidden="false" customHeight="false" outlineLevel="0" collapsed="false">
      <c r="A368" s="53"/>
      <c r="B368" s="9"/>
      <c r="C368" s="9"/>
      <c r="D368" s="9"/>
    </row>
    <row r="369" customFormat="false" ht="15.75" hidden="false" customHeight="false" outlineLevel="0" collapsed="false">
      <c r="A369" s="53"/>
      <c r="B369" s="9"/>
      <c r="C369" s="9"/>
      <c r="D369" s="9"/>
    </row>
    <row r="370" customFormat="false" ht="15.75" hidden="false" customHeight="false" outlineLevel="0" collapsed="false">
      <c r="A370" s="53"/>
      <c r="B370" s="9"/>
      <c r="C370" s="9"/>
      <c r="D370" s="9"/>
    </row>
    <row r="371" customFormat="false" ht="15.75" hidden="false" customHeight="false" outlineLevel="0" collapsed="false">
      <c r="A371" s="53"/>
      <c r="B371" s="9"/>
      <c r="C371" s="9"/>
      <c r="D371" s="9"/>
    </row>
    <row r="372" customFormat="false" ht="15.75" hidden="false" customHeight="false" outlineLevel="0" collapsed="false">
      <c r="A372" s="53"/>
      <c r="B372" s="9"/>
      <c r="C372" s="9"/>
      <c r="D372" s="9"/>
    </row>
    <row r="373" customFormat="false" ht="15.75" hidden="false" customHeight="false" outlineLevel="0" collapsed="false">
      <c r="A373" s="53"/>
      <c r="B373" s="9"/>
      <c r="C373" s="9"/>
      <c r="D373" s="9"/>
    </row>
    <row r="374" customFormat="false" ht="15.75" hidden="false" customHeight="false" outlineLevel="0" collapsed="false">
      <c r="A374" s="53"/>
      <c r="B374" s="9"/>
      <c r="C374" s="9"/>
      <c r="D374" s="9"/>
    </row>
    <row r="375" customFormat="false" ht="15.75" hidden="false" customHeight="false" outlineLevel="0" collapsed="false">
      <c r="A375" s="53"/>
      <c r="B375" s="9"/>
      <c r="C375" s="9"/>
      <c r="D375" s="9"/>
    </row>
    <row r="376" customFormat="false" ht="15.75" hidden="false" customHeight="false" outlineLevel="0" collapsed="false">
      <c r="A376" s="53"/>
      <c r="B376" s="9"/>
      <c r="C376" s="9"/>
      <c r="D376" s="9"/>
    </row>
    <row r="377" customFormat="false" ht="15.75" hidden="false" customHeight="false" outlineLevel="0" collapsed="false">
      <c r="A377" s="53"/>
      <c r="B377" s="9"/>
      <c r="C377" s="9"/>
      <c r="D377" s="9"/>
    </row>
    <row r="378" customFormat="false" ht="15.75" hidden="false" customHeight="false" outlineLevel="0" collapsed="false">
      <c r="A378" s="53"/>
      <c r="B378" s="9"/>
      <c r="C378" s="9"/>
      <c r="D378" s="9"/>
    </row>
    <row r="379" customFormat="false" ht="15.75" hidden="false" customHeight="false" outlineLevel="0" collapsed="false">
      <c r="A379" s="53"/>
      <c r="B379" s="9"/>
      <c r="C379" s="9"/>
      <c r="D379" s="9"/>
    </row>
    <row r="380" customFormat="false" ht="15.75" hidden="false" customHeight="false" outlineLevel="0" collapsed="false">
      <c r="A380" s="53"/>
      <c r="B380" s="9"/>
      <c r="C380" s="9"/>
      <c r="D380" s="9"/>
    </row>
    <row r="381" customFormat="false" ht="15.75" hidden="false" customHeight="false" outlineLevel="0" collapsed="false">
      <c r="A381" s="53"/>
      <c r="B381" s="9"/>
      <c r="C381" s="9"/>
      <c r="D381" s="9"/>
    </row>
    <row r="382" customFormat="false" ht="15.75" hidden="false" customHeight="false" outlineLevel="0" collapsed="false">
      <c r="A382" s="53"/>
      <c r="B382" s="9"/>
      <c r="C382" s="9"/>
      <c r="D382" s="9"/>
    </row>
    <row r="383" customFormat="false" ht="15.75" hidden="false" customHeight="false" outlineLevel="0" collapsed="false">
      <c r="A383" s="53"/>
      <c r="B383" s="9"/>
      <c r="C383" s="9"/>
      <c r="D383" s="9"/>
    </row>
    <row r="384" customFormat="false" ht="15.75" hidden="false" customHeight="false" outlineLevel="0" collapsed="false">
      <c r="A384" s="53"/>
      <c r="B384" s="9"/>
      <c r="C384" s="9"/>
      <c r="D384" s="9"/>
    </row>
    <row r="385" customFormat="false" ht="15.75" hidden="false" customHeight="false" outlineLevel="0" collapsed="false">
      <c r="A385" s="53"/>
      <c r="B385" s="9"/>
      <c r="C385" s="9"/>
      <c r="D385" s="9"/>
    </row>
    <row r="386" customFormat="false" ht="15.75" hidden="false" customHeight="false" outlineLevel="0" collapsed="false">
      <c r="A386" s="53"/>
      <c r="B386" s="9"/>
      <c r="C386" s="9"/>
      <c r="D386" s="9"/>
    </row>
    <row r="387" customFormat="false" ht="15.75" hidden="false" customHeight="false" outlineLevel="0" collapsed="false">
      <c r="A387" s="53"/>
      <c r="B387" s="9"/>
      <c r="C387" s="9"/>
      <c r="D387" s="9"/>
    </row>
    <row r="388" customFormat="false" ht="15.75" hidden="false" customHeight="false" outlineLevel="0" collapsed="false">
      <c r="A388" s="53"/>
      <c r="B388" s="9"/>
      <c r="C388" s="9"/>
      <c r="D388" s="9"/>
    </row>
    <row r="389" customFormat="false" ht="15.75" hidden="false" customHeight="false" outlineLevel="0" collapsed="false">
      <c r="A389" s="53"/>
      <c r="B389" s="9"/>
      <c r="C389" s="9"/>
      <c r="D389" s="9"/>
    </row>
    <row r="390" customFormat="false" ht="15.75" hidden="false" customHeight="false" outlineLevel="0" collapsed="false">
      <c r="A390" s="53"/>
      <c r="B390" s="9"/>
      <c r="C390" s="9"/>
      <c r="D390" s="9"/>
    </row>
    <row r="391" customFormat="false" ht="15.75" hidden="false" customHeight="false" outlineLevel="0" collapsed="false">
      <c r="A391" s="53"/>
      <c r="B391" s="9"/>
      <c r="C391" s="9"/>
      <c r="D391" s="9"/>
    </row>
    <row r="392" customFormat="false" ht="15.75" hidden="false" customHeight="false" outlineLevel="0" collapsed="false">
      <c r="A392" s="53"/>
      <c r="B392" s="9"/>
      <c r="C392" s="9"/>
      <c r="D392" s="9"/>
    </row>
    <row r="393" customFormat="false" ht="15.75" hidden="false" customHeight="false" outlineLevel="0" collapsed="false">
      <c r="A393" s="53"/>
      <c r="B393" s="9"/>
      <c r="C393" s="9"/>
      <c r="D393" s="9"/>
    </row>
    <row r="394" customFormat="false" ht="15.75" hidden="false" customHeight="false" outlineLevel="0" collapsed="false">
      <c r="A394" s="53"/>
      <c r="B394" s="9"/>
      <c r="C394" s="9"/>
      <c r="D394" s="9"/>
    </row>
    <row r="395" customFormat="false" ht="15.75" hidden="false" customHeight="false" outlineLevel="0" collapsed="false">
      <c r="A395" s="53"/>
      <c r="B395" s="9"/>
      <c r="C395" s="9"/>
      <c r="D395" s="9"/>
    </row>
    <row r="396" customFormat="false" ht="15.75" hidden="false" customHeight="false" outlineLevel="0" collapsed="false">
      <c r="A396" s="53"/>
      <c r="B396" s="9"/>
      <c r="C396" s="9"/>
      <c r="D396" s="9"/>
    </row>
    <row r="397" customFormat="false" ht="15.75" hidden="false" customHeight="false" outlineLevel="0" collapsed="false">
      <c r="A397" s="53"/>
      <c r="B397" s="9"/>
      <c r="C397" s="9"/>
      <c r="D397" s="9"/>
    </row>
    <row r="398" customFormat="false" ht="15.75" hidden="false" customHeight="false" outlineLevel="0" collapsed="false">
      <c r="A398" s="53"/>
      <c r="B398" s="9"/>
      <c r="C398" s="9"/>
      <c r="D398" s="9"/>
    </row>
    <row r="399" customFormat="false" ht="15.75" hidden="false" customHeight="false" outlineLevel="0" collapsed="false">
      <c r="A399" s="53"/>
      <c r="B399" s="9"/>
      <c r="C399" s="9"/>
      <c r="D399" s="9"/>
    </row>
    <row r="400" customFormat="false" ht="15.75" hidden="false" customHeight="false" outlineLevel="0" collapsed="false">
      <c r="A400" s="53"/>
      <c r="B400" s="9"/>
      <c r="C400" s="9"/>
      <c r="D400" s="9"/>
    </row>
    <row r="401" customFormat="false" ht="15.75" hidden="false" customHeight="false" outlineLevel="0" collapsed="false">
      <c r="A401" s="53"/>
      <c r="B401" s="9"/>
      <c r="C401" s="9"/>
      <c r="D401" s="9"/>
    </row>
    <row r="402" customFormat="false" ht="15.75" hidden="false" customHeight="false" outlineLevel="0" collapsed="false">
      <c r="A402" s="53"/>
      <c r="B402" s="9"/>
      <c r="C402" s="9"/>
      <c r="D402" s="9"/>
    </row>
    <row r="403" customFormat="false" ht="15.75" hidden="false" customHeight="false" outlineLevel="0" collapsed="false">
      <c r="A403" s="53"/>
      <c r="B403" s="9"/>
      <c r="C403" s="9"/>
      <c r="D403" s="9"/>
    </row>
    <row r="404" customFormat="false" ht="15.75" hidden="false" customHeight="false" outlineLevel="0" collapsed="false">
      <c r="A404" s="53"/>
      <c r="B404" s="9"/>
      <c r="C404" s="9"/>
      <c r="D404" s="9"/>
    </row>
    <row r="405" customFormat="false" ht="15.75" hidden="false" customHeight="false" outlineLevel="0" collapsed="false">
      <c r="A405" s="53"/>
      <c r="B405" s="9"/>
      <c r="C405" s="9"/>
      <c r="D405" s="9"/>
    </row>
    <row r="406" customFormat="false" ht="15.75" hidden="false" customHeight="false" outlineLevel="0" collapsed="false">
      <c r="A406" s="53"/>
      <c r="B406" s="9"/>
      <c r="C406" s="9"/>
      <c r="D406" s="9"/>
    </row>
    <row r="407" customFormat="false" ht="15.75" hidden="false" customHeight="false" outlineLevel="0" collapsed="false">
      <c r="A407" s="53"/>
      <c r="B407" s="9"/>
      <c r="C407" s="9"/>
      <c r="D407" s="9"/>
    </row>
    <row r="408" customFormat="false" ht="15.75" hidden="false" customHeight="false" outlineLevel="0" collapsed="false">
      <c r="A408" s="53"/>
      <c r="B408" s="9"/>
      <c r="C408" s="9"/>
      <c r="D408" s="9"/>
    </row>
    <row r="409" customFormat="false" ht="15.75" hidden="false" customHeight="false" outlineLevel="0" collapsed="false">
      <c r="A409" s="53"/>
      <c r="B409" s="9"/>
      <c r="C409" s="9"/>
      <c r="D409" s="9"/>
    </row>
    <row r="410" customFormat="false" ht="15.75" hidden="false" customHeight="false" outlineLevel="0" collapsed="false">
      <c r="A410" s="53"/>
      <c r="B410" s="9"/>
      <c r="C410" s="9"/>
      <c r="D410" s="9"/>
    </row>
    <row r="411" customFormat="false" ht="15.75" hidden="false" customHeight="false" outlineLevel="0" collapsed="false">
      <c r="A411" s="53"/>
      <c r="B411" s="9"/>
      <c r="C411" s="9"/>
      <c r="D411" s="9"/>
    </row>
    <row r="412" customFormat="false" ht="15.75" hidden="false" customHeight="false" outlineLevel="0" collapsed="false">
      <c r="A412" s="53"/>
      <c r="B412" s="9"/>
      <c r="C412" s="9"/>
      <c r="D412" s="9"/>
    </row>
    <row r="413" customFormat="false" ht="15.75" hidden="false" customHeight="false" outlineLevel="0" collapsed="false">
      <c r="A413" s="53"/>
      <c r="B413" s="9"/>
      <c r="C413" s="9"/>
      <c r="D413" s="9"/>
    </row>
    <row r="414" customFormat="false" ht="15.75" hidden="false" customHeight="false" outlineLevel="0" collapsed="false">
      <c r="A414" s="53"/>
      <c r="B414" s="9"/>
      <c r="C414" s="9"/>
      <c r="D414" s="9"/>
    </row>
    <row r="415" customFormat="false" ht="15.75" hidden="false" customHeight="false" outlineLevel="0" collapsed="false">
      <c r="A415" s="53"/>
      <c r="B415" s="9"/>
      <c r="C415" s="9"/>
      <c r="D415" s="9"/>
    </row>
    <row r="416" customFormat="false" ht="15.75" hidden="false" customHeight="false" outlineLevel="0" collapsed="false">
      <c r="A416" s="53"/>
      <c r="B416" s="9"/>
      <c r="C416" s="9"/>
      <c r="D416" s="9"/>
    </row>
    <row r="417" customFormat="false" ht="15.75" hidden="false" customHeight="false" outlineLevel="0" collapsed="false">
      <c r="A417" s="53"/>
      <c r="B417" s="9"/>
      <c r="C417" s="9"/>
      <c r="D417" s="9"/>
    </row>
    <row r="418" customFormat="false" ht="15.75" hidden="false" customHeight="false" outlineLevel="0" collapsed="false">
      <c r="A418" s="53"/>
      <c r="B418" s="9"/>
      <c r="C418" s="9"/>
      <c r="D418" s="9"/>
    </row>
    <row r="419" customFormat="false" ht="15.75" hidden="false" customHeight="false" outlineLevel="0" collapsed="false">
      <c r="A419" s="53"/>
      <c r="B419" s="9"/>
      <c r="C419" s="9"/>
      <c r="D419" s="9"/>
    </row>
    <row r="420" customFormat="false" ht="15.75" hidden="false" customHeight="false" outlineLevel="0" collapsed="false">
      <c r="A420" s="53"/>
      <c r="B420" s="9"/>
      <c r="C420" s="9"/>
      <c r="D420" s="9"/>
    </row>
    <row r="421" customFormat="false" ht="15.75" hidden="false" customHeight="false" outlineLevel="0" collapsed="false">
      <c r="A421" s="53"/>
      <c r="B421" s="9"/>
      <c r="C421" s="9"/>
      <c r="D421" s="9"/>
    </row>
    <row r="422" customFormat="false" ht="15.75" hidden="false" customHeight="false" outlineLevel="0" collapsed="false">
      <c r="A422" s="53"/>
      <c r="B422" s="9"/>
      <c r="C422" s="9"/>
      <c r="D422" s="9"/>
    </row>
    <row r="423" customFormat="false" ht="15.75" hidden="false" customHeight="false" outlineLevel="0" collapsed="false">
      <c r="A423" s="53"/>
      <c r="B423" s="9"/>
      <c r="C423" s="9"/>
      <c r="D423" s="9"/>
    </row>
    <row r="424" customFormat="false" ht="15.75" hidden="false" customHeight="false" outlineLevel="0" collapsed="false">
      <c r="A424" s="53"/>
      <c r="B424" s="9"/>
      <c r="C424" s="9"/>
      <c r="D424" s="9"/>
    </row>
    <row r="425" customFormat="false" ht="15.75" hidden="false" customHeight="false" outlineLevel="0" collapsed="false">
      <c r="A425" s="53"/>
      <c r="B425" s="9"/>
      <c r="C425" s="9"/>
      <c r="D425" s="9"/>
    </row>
    <row r="426" customFormat="false" ht="15.75" hidden="false" customHeight="false" outlineLevel="0" collapsed="false">
      <c r="A426" s="53"/>
      <c r="B426" s="9"/>
      <c r="C426" s="9"/>
      <c r="D426" s="9"/>
    </row>
    <row r="427" customFormat="false" ht="15.75" hidden="false" customHeight="false" outlineLevel="0" collapsed="false">
      <c r="A427" s="53"/>
      <c r="B427" s="9"/>
      <c r="C427" s="9"/>
      <c r="D427" s="9"/>
    </row>
    <row r="428" customFormat="false" ht="15.75" hidden="false" customHeight="false" outlineLevel="0" collapsed="false">
      <c r="A428" s="53"/>
      <c r="B428" s="9"/>
      <c r="C428" s="9"/>
      <c r="D428" s="9"/>
    </row>
    <row r="429" customFormat="false" ht="15.75" hidden="false" customHeight="false" outlineLevel="0" collapsed="false">
      <c r="A429" s="53"/>
      <c r="B429" s="9"/>
      <c r="C429" s="9"/>
      <c r="D429" s="9"/>
    </row>
    <row r="430" customFormat="false" ht="15.75" hidden="false" customHeight="false" outlineLevel="0" collapsed="false">
      <c r="A430" s="53"/>
      <c r="B430" s="9"/>
      <c r="C430" s="9"/>
      <c r="D430" s="9"/>
    </row>
    <row r="431" customFormat="false" ht="15.75" hidden="false" customHeight="false" outlineLevel="0" collapsed="false">
      <c r="A431" s="53"/>
      <c r="B431" s="9"/>
      <c r="C431" s="9"/>
      <c r="D431" s="9"/>
    </row>
    <row r="432" customFormat="false" ht="15.75" hidden="false" customHeight="false" outlineLevel="0" collapsed="false">
      <c r="A432" s="53"/>
      <c r="B432" s="9"/>
      <c r="C432" s="9"/>
      <c r="D432" s="9"/>
    </row>
    <row r="433" customFormat="false" ht="15.75" hidden="false" customHeight="false" outlineLevel="0" collapsed="false">
      <c r="A433" s="53"/>
      <c r="B433" s="9"/>
      <c r="C433" s="9"/>
      <c r="D433" s="9"/>
    </row>
    <row r="434" customFormat="false" ht="15.75" hidden="false" customHeight="false" outlineLevel="0" collapsed="false">
      <c r="A434" s="53"/>
      <c r="B434" s="9"/>
      <c r="C434" s="9"/>
      <c r="D434" s="9"/>
    </row>
    <row r="435" customFormat="false" ht="15.75" hidden="false" customHeight="false" outlineLevel="0" collapsed="false">
      <c r="A435" s="53"/>
      <c r="B435" s="9"/>
      <c r="C435" s="9"/>
      <c r="D435" s="9"/>
    </row>
    <row r="436" customFormat="false" ht="15.75" hidden="false" customHeight="false" outlineLevel="0" collapsed="false">
      <c r="A436" s="53"/>
      <c r="B436" s="9"/>
      <c r="C436" s="9"/>
      <c r="D436" s="9"/>
    </row>
    <row r="437" customFormat="false" ht="15.75" hidden="false" customHeight="false" outlineLevel="0" collapsed="false">
      <c r="A437" s="53"/>
      <c r="B437" s="9"/>
      <c r="C437" s="9"/>
      <c r="D437" s="9"/>
    </row>
    <row r="438" customFormat="false" ht="15.75" hidden="false" customHeight="false" outlineLevel="0" collapsed="false">
      <c r="A438" s="53"/>
      <c r="B438" s="9"/>
      <c r="C438" s="9"/>
      <c r="D438" s="9"/>
    </row>
    <row r="439" customFormat="false" ht="15.75" hidden="false" customHeight="false" outlineLevel="0" collapsed="false">
      <c r="A439" s="53"/>
      <c r="B439" s="9"/>
      <c r="C439" s="9"/>
      <c r="D439" s="9"/>
    </row>
    <row r="440" customFormat="false" ht="15.75" hidden="false" customHeight="false" outlineLevel="0" collapsed="false">
      <c r="A440" s="53"/>
      <c r="B440" s="9"/>
      <c r="C440" s="9"/>
      <c r="D440" s="9"/>
    </row>
    <row r="441" customFormat="false" ht="15.75" hidden="false" customHeight="false" outlineLevel="0" collapsed="false">
      <c r="A441" s="53"/>
      <c r="B441" s="9"/>
      <c r="C441" s="9"/>
      <c r="D441" s="9"/>
    </row>
    <row r="442" customFormat="false" ht="15.75" hidden="false" customHeight="false" outlineLevel="0" collapsed="false">
      <c r="A442" s="53"/>
      <c r="B442" s="9"/>
      <c r="C442" s="9"/>
      <c r="D442" s="9"/>
    </row>
    <row r="443" customFormat="false" ht="15.75" hidden="false" customHeight="false" outlineLevel="0" collapsed="false">
      <c r="A443" s="53"/>
      <c r="B443" s="9"/>
      <c r="C443" s="9"/>
      <c r="D443" s="9"/>
    </row>
    <row r="444" customFormat="false" ht="15.75" hidden="false" customHeight="false" outlineLevel="0" collapsed="false">
      <c r="A444" s="53"/>
      <c r="B444" s="9"/>
      <c r="C444" s="9"/>
      <c r="D444" s="9"/>
    </row>
    <row r="445" customFormat="false" ht="15.75" hidden="false" customHeight="false" outlineLevel="0" collapsed="false">
      <c r="A445" s="53"/>
      <c r="B445" s="9"/>
      <c r="C445" s="9"/>
      <c r="D445" s="9"/>
    </row>
    <row r="446" customFormat="false" ht="15.75" hidden="false" customHeight="false" outlineLevel="0" collapsed="false">
      <c r="A446" s="53"/>
      <c r="B446" s="9"/>
      <c r="C446" s="9"/>
      <c r="D446" s="9"/>
    </row>
    <row r="447" customFormat="false" ht="15.75" hidden="false" customHeight="false" outlineLevel="0" collapsed="false">
      <c r="A447" s="53"/>
      <c r="B447" s="9"/>
      <c r="C447" s="9"/>
      <c r="D447" s="9"/>
    </row>
    <row r="448" customFormat="false" ht="15.75" hidden="false" customHeight="false" outlineLevel="0" collapsed="false">
      <c r="A448" s="53"/>
      <c r="B448" s="9"/>
      <c r="C448" s="9"/>
      <c r="D448" s="9"/>
    </row>
    <row r="449" customFormat="false" ht="15.75" hidden="false" customHeight="false" outlineLevel="0" collapsed="false">
      <c r="A449" s="53"/>
      <c r="B449" s="9"/>
      <c r="C449" s="9"/>
      <c r="D449" s="9"/>
    </row>
    <row r="450" customFormat="false" ht="15.75" hidden="false" customHeight="false" outlineLevel="0" collapsed="false">
      <c r="A450" s="53"/>
      <c r="B450" s="9"/>
      <c r="C450" s="9"/>
      <c r="D450" s="9"/>
    </row>
    <row r="451" customFormat="false" ht="15.75" hidden="false" customHeight="false" outlineLevel="0" collapsed="false">
      <c r="A451" s="53"/>
      <c r="B451" s="9"/>
      <c r="C451" s="9"/>
      <c r="D451" s="9"/>
    </row>
    <row r="452" customFormat="false" ht="15.75" hidden="false" customHeight="false" outlineLevel="0" collapsed="false">
      <c r="A452" s="53"/>
      <c r="B452" s="9"/>
      <c r="C452" s="9"/>
      <c r="D452" s="9"/>
    </row>
    <row r="453" customFormat="false" ht="15.75" hidden="false" customHeight="false" outlineLevel="0" collapsed="false">
      <c r="A453" s="53"/>
      <c r="B453" s="9"/>
      <c r="C453" s="9"/>
      <c r="D453" s="9"/>
    </row>
    <row r="454" customFormat="false" ht="15.75" hidden="false" customHeight="false" outlineLevel="0" collapsed="false">
      <c r="A454" s="53"/>
      <c r="B454" s="9"/>
      <c r="C454" s="9"/>
      <c r="D454" s="9"/>
    </row>
    <row r="455" customFormat="false" ht="15.75" hidden="false" customHeight="false" outlineLevel="0" collapsed="false">
      <c r="A455" s="53"/>
      <c r="B455" s="9"/>
      <c r="C455" s="9"/>
      <c r="D455" s="9"/>
    </row>
    <row r="456" customFormat="false" ht="15.75" hidden="false" customHeight="false" outlineLevel="0" collapsed="false">
      <c r="A456" s="53"/>
      <c r="B456" s="9"/>
      <c r="C456" s="9"/>
      <c r="D456" s="9"/>
    </row>
    <row r="457" customFormat="false" ht="15.75" hidden="false" customHeight="false" outlineLevel="0" collapsed="false">
      <c r="A457" s="53"/>
      <c r="B457" s="9"/>
      <c r="C457" s="9"/>
      <c r="D457" s="9"/>
    </row>
    <row r="458" customFormat="false" ht="15.75" hidden="false" customHeight="false" outlineLevel="0" collapsed="false">
      <c r="A458" s="53"/>
      <c r="B458" s="9"/>
      <c r="C458" s="9"/>
      <c r="D458" s="9"/>
    </row>
    <row r="459" customFormat="false" ht="15.75" hidden="false" customHeight="false" outlineLevel="0" collapsed="false">
      <c r="A459" s="53"/>
      <c r="B459" s="9"/>
      <c r="C459" s="9"/>
      <c r="D459" s="9"/>
    </row>
    <row r="460" customFormat="false" ht="15.75" hidden="false" customHeight="false" outlineLevel="0" collapsed="false">
      <c r="A460" s="53"/>
      <c r="B460" s="9"/>
      <c r="C460" s="9"/>
      <c r="D460" s="9"/>
    </row>
    <row r="461" customFormat="false" ht="15.75" hidden="false" customHeight="false" outlineLevel="0" collapsed="false">
      <c r="A461" s="53"/>
      <c r="B461" s="9"/>
      <c r="C461" s="9"/>
      <c r="D461" s="9"/>
    </row>
    <row r="462" customFormat="false" ht="15.75" hidden="false" customHeight="false" outlineLevel="0" collapsed="false">
      <c r="A462" s="53"/>
      <c r="B462" s="9"/>
      <c r="C462" s="9"/>
      <c r="D462" s="9"/>
    </row>
    <row r="463" customFormat="false" ht="15.75" hidden="false" customHeight="false" outlineLevel="0" collapsed="false">
      <c r="A463" s="53"/>
      <c r="B463" s="9"/>
      <c r="C463" s="9"/>
      <c r="D463" s="9"/>
    </row>
    <row r="464" customFormat="false" ht="15.75" hidden="false" customHeight="false" outlineLevel="0" collapsed="false">
      <c r="A464" s="53"/>
      <c r="B464" s="9"/>
      <c r="C464" s="9"/>
      <c r="D464" s="9"/>
    </row>
    <row r="465" customFormat="false" ht="15.75" hidden="false" customHeight="false" outlineLevel="0" collapsed="false">
      <c r="A465" s="53"/>
      <c r="B465" s="9"/>
      <c r="C465" s="9"/>
      <c r="D465" s="9"/>
    </row>
    <row r="466" customFormat="false" ht="15.75" hidden="false" customHeight="false" outlineLevel="0" collapsed="false">
      <c r="A466" s="53"/>
      <c r="B466" s="9"/>
      <c r="C466" s="9"/>
      <c r="D466" s="9"/>
    </row>
    <row r="467" customFormat="false" ht="15.75" hidden="false" customHeight="false" outlineLevel="0" collapsed="false">
      <c r="A467" s="53"/>
      <c r="B467" s="9"/>
      <c r="C467" s="9"/>
      <c r="D467" s="9"/>
    </row>
    <row r="468" customFormat="false" ht="15.75" hidden="false" customHeight="false" outlineLevel="0" collapsed="false">
      <c r="A468" s="53"/>
      <c r="B468" s="9"/>
      <c r="C468" s="9"/>
      <c r="D468" s="9"/>
    </row>
    <row r="469" customFormat="false" ht="15.75" hidden="false" customHeight="false" outlineLevel="0" collapsed="false">
      <c r="A469" s="53"/>
      <c r="B469" s="9"/>
      <c r="C469" s="9"/>
      <c r="D469" s="9"/>
    </row>
    <row r="470" customFormat="false" ht="15.75" hidden="false" customHeight="false" outlineLevel="0" collapsed="false">
      <c r="A470" s="53"/>
      <c r="B470" s="9"/>
      <c r="C470" s="9"/>
      <c r="D470" s="9"/>
    </row>
    <row r="471" customFormat="false" ht="15.75" hidden="false" customHeight="false" outlineLevel="0" collapsed="false">
      <c r="A471" s="53"/>
      <c r="B471" s="9"/>
      <c r="C471" s="9"/>
      <c r="D471" s="9"/>
    </row>
    <row r="472" customFormat="false" ht="15.75" hidden="false" customHeight="false" outlineLevel="0" collapsed="false">
      <c r="A472" s="53"/>
      <c r="B472" s="9"/>
      <c r="C472" s="9"/>
      <c r="D472" s="9"/>
    </row>
    <row r="473" customFormat="false" ht="15.75" hidden="false" customHeight="false" outlineLevel="0" collapsed="false">
      <c r="A473" s="53"/>
      <c r="B473" s="9"/>
      <c r="C473" s="9"/>
      <c r="D473" s="9"/>
    </row>
    <row r="474" customFormat="false" ht="15.75" hidden="false" customHeight="false" outlineLevel="0" collapsed="false">
      <c r="A474" s="53"/>
      <c r="B474" s="9"/>
      <c r="C474" s="9"/>
      <c r="D474" s="9"/>
    </row>
    <row r="475" customFormat="false" ht="15.75" hidden="false" customHeight="false" outlineLevel="0" collapsed="false">
      <c r="A475" s="53"/>
      <c r="B475" s="9"/>
      <c r="C475" s="9"/>
      <c r="D475" s="9"/>
    </row>
    <row r="476" customFormat="false" ht="15.75" hidden="false" customHeight="false" outlineLevel="0" collapsed="false">
      <c r="A476" s="53"/>
      <c r="B476" s="9"/>
      <c r="C476" s="9"/>
      <c r="D476" s="9"/>
    </row>
    <row r="477" customFormat="false" ht="15.75" hidden="false" customHeight="false" outlineLevel="0" collapsed="false">
      <c r="A477" s="53"/>
      <c r="B477" s="9"/>
      <c r="C477" s="9"/>
      <c r="D477" s="9"/>
    </row>
    <row r="478" customFormat="false" ht="15.75" hidden="false" customHeight="false" outlineLevel="0" collapsed="false">
      <c r="A478" s="53"/>
      <c r="B478" s="9"/>
      <c r="C478" s="9"/>
      <c r="D478" s="9"/>
    </row>
    <row r="479" customFormat="false" ht="15.75" hidden="false" customHeight="false" outlineLevel="0" collapsed="false">
      <c r="A479" s="53"/>
      <c r="B479" s="9"/>
      <c r="C479" s="9"/>
      <c r="D479" s="9"/>
    </row>
    <row r="480" customFormat="false" ht="15.75" hidden="false" customHeight="false" outlineLevel="0" collapsed="false">
      <c r="A480" s="53"/>
      <c r="B480" s="9"/>
      <c r="C480" s="9"/>
      <c r="D480" s="9"/>
    </row>
    <row r="481" customFormat="false" ht="15.75" hidden="false" customHeight="false" outlineLevel="0" collapsed="false">
      <c r="A481" s="53"/>
      <c r="B481" s="9"/>
      <c r="C481" s="9"/>
      <c r="D481" s="9"/>
    </row>
    <row r="482" customFormat="false" ht="15.75" hidden="false" customHeight="false" outlineLevel="0" collapsed="false">
      <c r="A482" s="53"/>
      <c r="B482" s="9"/>
      <c r="C482" s="9"/>
      <c r="D482" s="9"/>
    </row>
    <row r="483" customFormat="false" ht="15.75" hidden="false" customHeight="false" outlineLevel="0" collapsed="false">
      <c r="A483" s="53"/>
      <c r="B483" s="9"/>
      <c r="C483" s="9"/>
      <c r="D483" s="9"/>
    </row>
    <row r="484" customFormat="false" ht="15.75" hidden="false" customHeight="false" outlineLevel="0" collapsed="false">
      <c r="A484" s="53"/>
      <c r="B484" s="9"/>
      <c r="C484" s="9"/>
      <c r="D484" s="9"/>
    </row>
    <row r="485" customFormat="false" ht="15.75" hidden="false" customHeight="false" outlineLevel="0" collapsed="false">
      <c r="A485" s="53"/>
      <c r="B485" s="9"/>
      <c r="C485" s="9"/>
      <c r="D485" s="9"/>
    </row>
    <row r="486" customFormat="false" ht="15.75" hidden="false" customHeight="false" outlineLevel="0" collapsed="false">
      <c r="A486" s="53"/>
      <c r="B486" s="9"/>
      <c r="C486" s="9"/>
      <c r="D486" s="9"/>
    </row>
    <row r="487" customFormat="false" ht="15.75" hidden="false" customHeight="false" outlineLevel="0" collapsed="false">
      <c r="A487" s="53"/>
      <c r="B487" s="9"/>
      <c r="C487" s="9"/>
      <c r="D487" s="9"/>
    </row>
    <row r="488" customFormat="false" ht="15.75" hidden="false" customHeight="false" outlineLevel="0" collapsed="false">
      <c r="A488" s="53"/>
      <c r="B488" s="9"/>
      <c r="C488" s="9"/>
      <c r="D488" s="9"/>
    </row>
    <row r="489" customFormat="false" ht="15.75" hidden="false" customHeight="false" outlineLevel="0" collapsed="false">
      <c r="A489" s="53"/>
      <c r="B489" s="9"/>
      <c r="C489" s="9"/>
      <c r="D489" s="9"/>
    </row>
    <row r="490" customFormat="false" ht="15.75" hidden="false" customHeight="false" outlineLevel="0" collapsed="false">
      <c r="A490" s="53"/>
      <c r="B490" s="9"/>
      <c r="C490" s="9"/>
      <c r="D490" s="9"/>
    </row>
    <row r="491" customFormat="false" ht="15.75" hidden="false" customHeight="false" outlineLevel="0" collapsed="false">
      <c r="A491" s="53"/>
      <c r="B491" s="9"/>
      <c r="C491" s="9"/>
      <c r="D491" s="9"/>
    </row>
    <row r="492" customFormat="false" ht="15.75" hidden="false" customHeight="false" outlineLevel="0" collapsed="false">
      <c r="A492" s="53"/>
      <c r="B492" s="9"/>
      <c r="C492" s="9"/>
      <c r="D492" s="9"/>
    </row>
    <row r="493" customFormat="false" ht="15.75" hidden="false" customHeight="false" outlineLevel="0" collapsed="false">
      <c r="A493" s="53"/>
      <c r="B493" s="9"/>
      <c r="C493" s="9"/>
      <c r="D493" s="9"/>
    </row>
    <row r="494" customFormat="false" ht="15.75" hidden="false" customHeight="false" outlineLevel="0" collapsed="false">
      <c r="A494" s="53"/>
      <c r="B494" s="9"/>
      <c r="C494" s="9"/>
      <c r="D494" s="9"/>
    </row>
    <row r="495" customFormat="false" ht="15.75" hidden="false" customHeight="false" outlineLevel="0" collapsed="false">
      <c r="A495" s="53"/>
      <c r="B495" s="9"/>
      <c r="C495" s="9"/>
      <c r="D495" s="9"/>
    </row>
    <row r="496" customFormat="false" ht="15.75" hidden="false" customHeight="false" outlineLevel="0" collapsed="false">
      <c r="A496" s="53"/>
      <c r="B496" s="9"/>
      <c r="C496" s="9"/>
      <c r="D496" s="9"/>
    </row>
    <row r="497" customFormat="false" ht="15.75" hidden="false" customHeight="false" outlineLevel="0" collapsed="false">
      <c r="A497" s="53"/>
      <c r="B497" s="9"/>
      <c r="C497" s="9"/>
      <c r="D497" s="9"/>
    </row>
    <row r="498" customFormat="false" ht="15.75" hidden="false" customHeight="false" outlineLevel="0" collapsed="false">
      <c r="A498" s="53"/>
      <c r="B498" s="9"/>
      <c r="C498" s="9"/>
      <c r="D498" s="9"/>
    </row>
    <row r="499" customFormat="false" ht="15.75" hidden="false" customHeight="false" outlineLevel="0" collapsed="false">
      <c r="A499" s="53"/>
      <c r="B499" s="9"/>
      <c r="C499" s="9"/>
      <c r="D499" s="9"/>
    </row>
    <row r="500" customFormat="false" ht="15.75" hidden="false" customHeight="false" outlineLevel="0" collapsed="false">
      <c r="A500" s="53"/>
      <c r="B500" s="9"/>
      <c r="C500" s="9"/>
      <c r="D500" s="9"/>
    </row>
    <row r="501" customFormat="false" ht="15.75" hidden="false" customHeight="false" outlineLevel="0" collapsed="false">
      <c r="A501" s="53"/>
      <c r="B501" s="9"/>
      <c r="C501" s="9"/>
      <c r="D501" s="9"/>
    </row>
    <row r="502" customFormat="false" ht="15.75" hidden="false" customHeight="false" outlineLevel="0" collapsed="false">
      <c r="A502" s="53"/>
      <c r="B502" s="9"/>
      <c r="C502" s="9"/>
      <c r="D502" s="9"/>
    </row>
    <row r="503" customFormat="false" ht="15.75" hidden="false" customHeight="false" outlineLevel="0" collapsed="false">
      <c r="A503" s="53"/>
      <c r="B503" s="9"/>
      <c r="C503" s="9"/>
      <c r="D503" s="9"/>
    </row>
    <row r="504" customFormat="false" ht="15.75" hidden="false" customHeight="false" outlineLevel="0" collapsed="false">
      <c r="A504" s="53"/>
      <c r="B504" s="9"/>
      <c r="C504" s="9"/>
      <c r="D504" s="9"/>
    </row>
    <row r="505" customFormat="false" ht="15.75" hidden="false" customHeight="false" outlineLevel="0" collapsed="false">
      <c r="A505" s="53"/>
      <c r="B505" s="9"/>
      <c r="C505" s="9"/>
      <c r="D505" s="9"/>
    </row>
    <row r="506" customFormat="false" ht="15.75" hidden="false" customHeight="false" outlineLevel="0" collapsed="false">
      <c r="A506" s="53"/>
      <c r="B506" s="9"/>
      <c r="C506" s="9"/>
      <c r="D506" s="9"/>
    </row>
    <row r="507" customFormat="false" ht="15.75" hidden="false" customHeight="false" outlineLevel="0" collapsed="false">
      <c r="A507" s="53"/>
      <c r="B507" s="9"/>
      <c r="C507" s="9"/>
      <c r="D507" s="9"/>
    </row>
    <row r="508" customFormat="false" ht="15.75" hidden="false" customHeight="false" outlineLevel="0" collapsed="false">
      <c r="A508" s="53"/>
      <c r="B508" s="9"/>
      <c r="C508" s="9"/>
      <c r="D508" s="9"/>
    </row>
    <row r="509" customFormat="false" ht="15.75" hidden="false" customHeight="false" outlineLevel="0" collapsed="false">
      <c r="A509" s="53"/>
      <c r="B509" s="9"/>
      <c r="C509" s="9"/>
      <c r="D509" s="9"/>
    </row>
    <row r="510" customFormat="false" ht="15.75" hidden="false" customHeight="false" outlineLevel="0" collapsed="false">
      <c r="A510" s="53"/>
      <c r="B510" s="9"/>
      <c r="C510" s="9"/>
      <c r="D510" s="9"/>
    </row>
    <row r="511" customFormat="false" ht="15.75" hidden="false" customHeight="false" outlineLevel="0" collapsed="false">
      <c r="A511" s="53"/>
      <c r="B511" s="9"/>
      <c r="C511" s="9"/>
      <c r="D511" s="9"/>
    </row>
    <row r="512" customFormat="false" ht="15.75" hidden="false" customHeight="false" outlineLevel="0" collapsed="false">
      <c r="A512" s="53"/>
      <c r="B512" s="9"/>
      <c r="C512" s="9"/>
      <c r="D512" s="9"/>
    </row>
    <row r="513" customFormat="false" ht="15.75" hidden="false" customHeight="false" outlineLevel="0" collapsed="false">
      <c r="A513" s="53"/>
      <c r="B513" s="9"/>
      <c r="C513" s="9"/>
      <c r="D513" s="9"/>
    </row>
    <row r="514" customFormat="false" ht="15.75" hidden="false" customHeight="false" outlineLevel="0" collapsed="false">
      <c r="A514" s="53"/>
      <c r="B514" s="9"/>
      <c r="C514" s="9"/>
      <c r="D514" s="9"/>
    </row>
    <row r="515" customFormat="false" ht="15.75" hidden="false" customHeight="false" outlineLevel="0" collapsed="false">
      <c r="A515" s="53"/>
      <c r="B515" s="9"/>
      <c r="C515" s="9"/>
      <c r="D515" s="9"/>
    </row>
    <row r="516" customFormat="false" ht="15.75" hidden="false" customHeight="false" outlineLevel="0" collapsed="false">
      <c r="A516" s="53"/>
      <c r="B516" s="9"/>
      <c r="C516" s="9"/>
      <c r="D516" s="9"/>
    </row>
    <row r="517" customFormat="false" ht="15.75" hidden="false" customHeight="false" outlineLevel="0" collapsed="false">
      <c r="A517" s="53"/>
      <c r="B517" s="9"/>
      <c r="C517" s="9"/>
      <c r="D517" s="9"/>
    </row>
    <row r="518" customFormat="false" ht="15.75" hidden="false" customHeight="false" outlineLevel="0" collapsed="false">
      <c r="A518" s="53"/>
      <c r="B518" s="9"/>
      <c r="C518" s="9"/>
      <c r="D518" s="9"/>
    </row>
    <row r="519" customFormat="false" ht="15.75" hidden="false" customHeight="false" outlineLevel="0" collapsed="false">
      <c r="A519" s="53"/>
      <c r="B519" s="9"/>
      <c r="C519" s="9"/>
      <c r="D519" s="9"/>
    </row>
    <row r="520" customFormat="false" ht="15.75" hidden="false" customHeight="false" outlineLevel="0" collapsed="false">
      <c r="A520" s="53"/>
      <c r="B520" s="9"/>
      <c r="C520" s="9"/>
      <c r="D520" s="9"/>
    </row>
    <row r="521" customFormat="false" ht="15.75" hidden="false" customHeight="false" outlineLevel="0" collapsed="false">
      <c r="A521" s="53"/>
      <c r="B521" s="9"/>
      <c r="C521" s="9"/>
      <c r="D521" s="9"/>
    </row>
    <row r="522" customFormat="false" ht="15.75" hidden="false" customHeight="false" outlineLevel="0" collapsed="false">
      <c r="A522" s="53"/>
      <c r="B522" s="9"/>
      <c r="C522" s="9"/>
      <c r="D522" s="9"/>
    </row>
    <row r="523" customFormat="false" ht="15.75" hidden="false" customHeight="false" outlineLevel="0" collapsed="false">
      <c r="A523" s="53"/>
      <c r="B523" s="9"/>
      <c r="C523" s="9"/>
      <c r="D523" s="9"/>
    </row>
    <row r="524" customFormat="false" ht="15.75" hidden="false" customHeight="false" outlineLevel="0" collapsed="false">
      <c r="A524" s="53"/>
      <c r="B524" s="9"/>
      <c r="C524" s="9"/>
      <c r="D524" s="9"/>
    </row>
    <row r="525" customFormat="false" ht="15.75" hidden="false" customHeight="false" outlineLevel="0" collapsed="false">
      <c r="A525" s="53"/>
      <c r="B525" s="9"/>
      <c r="C525" s="9"/>
      <c r="D525" s="9"/>
    </row>
    <row r="526" customFormat="false" ht="15.75" hidden="false" customHeight="false" outlineLevel="0" collapsed="false">
      <c r="A526" s="53"/>
      <c r="B526" s="9"/>
      <c r="C526" s="9"/>
      <c r="D526" s="9"/>
    </row>
    <row r="527" customFormat="false" ht="15.75" hidden="false" customHeight="false" outlineLevel="0" collapsed="false">
      <c r="A527" s="53"/>
      <c r="B527" s="9"/>
      <c r="C527" s="9"/>
      <c r="D527" s="9"/>
    </row>
    <row r="528" customFormat="false" ht="15.75" hidden="false" customHeight="false" outlineLevel="0" collapsed="false">
      <c r="A528" s="53"/>
      <c r="B528" s="9"/>
      <c r="C528" s="9"/>
      <c r="D528" s="9"/>
    </row>
    <row r="529" customFormat="false" ht="15.75" hidden="false" customHeight="false" outlineLevel="0" collapsed="false">
      <c r="A529" s="53"/>
      <c r="B529" s="9"/>
      <c r="C529" s="9"/>
      <c r="D529" s="9"/>
    </row>
    <row r="530" customFormat="false" ht="15.75" hidden="false" customHeight="false" outlineLevel="0" collapsed="false">
      <c r="A530" s="53"/>
      <c r="B530" s="9"/>
      <c r="C530" s="9"/>
      <c r="D530" s="9"/>
    </row>
    <row r="531" customFormat="false" ht="15.75" hidden="false" customHeight="false" outlineLevel="0" collapsed="false">
      <c r="A531" s="53"/>
      <c r="B531" s="9"/>
      <c r="C531" s="9"/>
      <c r="D531" s="9"/>
    </row>
    <row r="532" customFormat="false" ht="15.75" hidden="false" customHeight="false" outlineLevel="0" collapsed="false">
      <c r="A532" s="53"/>
      <c r="B532" s="9"/>
      <c r="C532" s="9"/>
      <c r="D532" s="9"/>
    </row>
    <row r="533" customFormat="false" ht="15.75" hidden="false" customHeight="false" outlineLevel="0" collapsed="false">
      <c r="A533" s="53"/>
      <c r="B533" s="9"/>
      <c r="C533" s="9"/>
      <c r="D533" s="9"/>
    </row>
    <row r="534" customFormat="false" ht="15.75" hidden="false" customHeight="false" outlineLevel="0" collapsed="false">
      <c r="A534" s="53"/>
      <c r="B534" s="9"/>
      <c r="C534" s="9"/>
      <c r="D534" s="9"/>
    </row>
    <row r="535" customFormat="false" ht="15.75" hidden="false" customHeight="false" outlineLevel="0" collapsed="false">
      <c r="A535" s="53"/>
      <c r="B535" s="9"/>
      <c r="C535" s="9"/>
      <c r="D535" s="9"/>
    </row>
    <row r="536" customFormat="false" ht="15.75" hidden="false" customHeight="false" outlineLevel="0" collapsed="false">
      <c r="A536" s="53"/>
      <c r="B536" s="9"/>
      <c r="C536" s="9"/>
      <c r="D536" s="9"/>
    </row>
    <row r="537" customFormat="false" ht="15.75" hidden="false" customHeight="false" outlineLevel="0" collapsed="false">
      <c r="A537" s="53"/>
      <c r="B537" s="9"/>
      <c r="C537" s="9"/>
      <c r="D537" s="9"/>
    </row>
    <row r="538" customFormat="false" ht="15.75" hidden="false" customHeight="false" outlineLevel="0" collapsed="false">
      <c r="A538" s="53"/>
      <c r="B538" s="9"/>
      <c r="C538" s="9"/>
      <c r="D538" s="9"/>
    </row>
    <row r="539" customFormat="false" ht="15.75" hidden="false" customHeight="false" outlineLevel="0" collapsed="false">
      <c r="A539" s="53"/>
      <c r="B539" s="9"/>
      <c r="C539" s="9"/>
      <c r="D539" s="9"/>
    </row>
    <row r="540" customFormat="false" ht="15.75" hidden="false" customHeight="false" outlineLevel="0" collapsed="false">
      <c r="A540" s="53"/>
      <c r="B540" s="9"/>
      <c r="C540" s="9"/>
      <c r="D540" s="9"/>
    </row>
    <row r="541" customFormat="false" ht="15.75" hidden="false" customHeight="false" outlineLevel="0" collapsed="false">
      <c r="A541" s="53"/>
      <c r="B541" s="9"/>
      <c r="C541" s="9"/>
      <c r="D541" s="9"/>
    </row>
    <row r="542" customFormat="false" ht="15.75" hidden="false" customHeight="false" outlineLevel="0" collapsed="false">
      <c r="A542" s="53"/>
      <c r="B542" s="9"/>
      <c r="C542" s="9"/>
      <c r="D542" s="9"/>
    </row>
    <row r="543" customFormat="false" ht="15.75" hidden="false" customHeight="false" outlineLevel="0" collapsed="false">
      <c r="A543" s="53"/>
      <c r="B543" s="9"/>
      <c r="C543" s="9"/>
      <c r="D543" s="9"/>
    </row>
    <row r="544" customFormat="false" ht="15.75" hidden="false" customHeight="false" outlineLevel="0" collapsed="false">
      <c r="A544" s="53"/>
      <c r="B544" s="9"/>
      <c r="C544" s="9"/>
      <c r="D544" s="9"/>
    </row>
    <row r="545" customFormat="false" ht="15.75" hidden="false" customHeight="false" outlineLevel="0" collapsed="false">
      <c r="A545" s="53"/>
      <c r="B545" s="9"/>
      <c r="C545" s="9"/>
      <c r="D545" s="9"/>
    </row>
    <row r="546" customFormat="false" ht="15.75" hidden="false" customHeight="false" outlineLevel="0" collapsed="false">
      <c r="A546" s="53"/>
      <c r="B546" s="9"/>
      <c r="C546" s="9"/>
      <c r="D546" s="9"/>
    </row>
    <row r="547" customFormat="false" ht="15.75" hidden="false" customHeight="false" outlineLevel="0" collapsed="false">
      <c r="A547" s="53"/>
      <c r="B547" s="9"/>
      <c r="C547" s="9"/>
      <c r="D547" s="9"/>
    </row>
    <row r="548" customFormat="false" ht="15.75" hidden="false" customHeight="false" outlineLevel="0" collapsed="false">
      <c r="A548" s="53"/>
      <c r="B548" s="9"/>
      <c r="C548" s="9"/>
      <c r="D548" s="9"/>
    </row>
    <row r="549" customFormat="false" ht="15.75" hidden="false" customHeight="false" outlineLevel="0" collapsed="false">
      <c r="A549" s="53"/>
      <c r="B549" s="9"/>
      <c r="C549" s="9"/>
      <c r="D549" s="9"/>
    </row>
    <row r="550" customFormat="false" ht="15.75" hidden="false" customHeight="false" outlineLevel="0" collapsed="false">
      <c r="A550" s="53"/>
      <c r="B550" s="9"/>
      <c r="C550" s="9"/>
      <c r="D550" s="9"/>
    </row>
    <row r="551" customFormat="false" ht="15.75" hidden="false" customHeight="false" outlineLevel="0" collapsed="false">
      <c r="A551" s="53"/>
      <c r="B551" s="9"/>
      <c r="C551" s="9"/>
      <c r="D551" s="9"/>
    </row>
    <row r="552" customFormat="false" ht="15.75" hidden="false" customHeight="false" outlineLevel="0" collapsed="false">
      <c r="A552" s="53"/>
      <c r="B552" s="9"/>
      <c r="C552" s="9"/>
      <c r="D552" s="9"/>
    </row>
    <row r="553" customFormat="false" ht="15.75" hidden="false" customHeight="false" outlineLevel="0" collapsed="false">
      <c r="A553" s="53"/>
      <c r="B553" s="9"/>
      <c r="C553" s="9"/>
      <c r="D553" s="9"/>
    </row>
    <row r="554" customFormat="false" ht="15.75" hidden="false" customHeight="false" outlineLevel="0" collapsed="false">
      <c r="A554" s="53"/>
      <c r="B554" s="9"/>
      <c r="C554" s="9"/>
      <c r="D554" s="9"/>
    </row>
    <row r="555" customFormat="false" ht="15.75" hidden="false" customHeight="false" outlineLevel="0" collapsed="false">
      <c r="A555" s="53"/>
      <c r="B555" s="9"/>
      <c r="C555" s="9"/>
      <c r="D555" s="9"/>
    </row>
    <row r="556" customFormat="false" ht="15.75" hidden="false" customHeight="false" outlineLevel="0" collapsed="false">
      <c r="A556" s="53"/>
      <c r="B556" s="9"/>
      <c r="C556" s="9"/>
      <c r="D556" s="9"/>
    </row>
    <row r="557" customFormat="false" ht="15.75" hidden="false" customHeight="false" outlineLevel="0" collapsed="false">
      <c r="A557" s="53"/>
      <c r="B557" s="9"/>
      <c r="C557" s="9"/>
      <c r="D557" s="9"/>
    </row>
    <row r="558" customFormat="false" ht="15.75" hidden="false" customHeight="false" outlineLevel="0" collapsed="false">
      <c r="A558" s="53"/>
      <c r="B558" s="9"/>
      <c r="C558" s="9"/>
      <c r="D558" s="9"/>
    </row>
    <row r="559" customFormat="false" ht="15.75" hidden="false" customHeight="false" outlineLevel="0" collapsed="false">
      <c r="A559" s="53"/>
      <c r="B559" s="9"/>
      <c r="C559" s="9"/>
      <c r="D559" s="9"/>
    </row>
    <row r="560" customFormat="false" ht="15.75" hidden="false" customHeight="false" outlineLevel="0" collapsed="false">
      <c r="A560" s="53"/>
      <c r="B560" s="9"/>
      <c r="C560" s="9"/>
      <c r="D560" s="9"/>
    </row>
    <row r="561" customFormat="false" ht="15.75" hidden="false" customHeight="false" outlineLevel="0" collapsed="false">
      <c r="A561" s="53"/>
      <c r="B561" s="9"/>
      <c r="C561" s="9"/>
      <c r="D561" s="9"/>
    </row>
    <row r="562" customFormat="false" ht="15.75" hidden="false" customHeight="false" outlineLevel="0" collapsed="false">
      <c r="A562" s="53"/>
      <c r="B562" s="9"/>
      <c r="C562" s="9"/>
      <c r="D562" s="9"/>
    </row>
    <row r="563" customFormat="false" ht="15.75" hidden="false" customHeight="false" outlineLevel="0" collapsed="false">
      <c r="A563" s="53"/>
      <c r="B563" s="9"/>
      <c r="C563" s="9"/>
      <c r="D563" s="9"/>
    </row>
    <row r="564" customFormat="false" ht="15.75" hidden="false" customHeight="false" outlineLevel="0" collapsed="false">
      <c r="A564" s="53"/>
      <c r="B564" s="9"/>
      <c r="C564" s="9"/>
      <c r="D564" s="9"/>
    </row>
    <row r="565" customFormat="false" ht="15.75" hidden="false" customHeight="false" outlineLevel="0" collapsed="false">
      <c r="A565" s="53"/>
      <c r="B565" s="9"/>
      <c r="C565" s="9"/>
      <c r="D565" s="9"/>
    </row>
    <row r="566" customFormat="false" ht="15.75" hidden="false" customHeight="false" outlineLevel="0" collapsed="false">
      <c r="A566" s="53"/>
      <c r="B566" s="9"/>
      <c r="C566" s="9"/>
      <c r="D566" s="9"/>
    </row>
    <row r="567" customFormat="false" ht="15.75" hidden="false" customHeight="false" outlineLevel="0" collapsed="false">
      <c r="A567" s="53"/>
      <c r="B567" s="9"/>
      <c r="C567" s="9"/>
      <c r="D567" s="9"/>
    </row>
    <row r="568" customFormat="false" ht="15.75" hidden="false" customHeight="false" outlineLevel="0" collapsed="false">
      <c r="A568" s="53"/>
      <c r="B568" s="9"/>
      <c r="C568" s="9"/>
      <c r="D568" s="9"/>
    </row>
    <row r="569" customFormat="false" ht="15.75" hidden="false" customHeight="false" outlineLevel="0" collapsed="false">
      <c r="A569" s="53"/>
      <c r="B569" s="9"/>
      <c r="C569" s="9"/>
      <c r="D569" s="9"/>
    </row>
    <row r="570" customFormat="false" ht="15.75" hidden="false" customHeight="false" outlineLevel="0" collapsed="false">
      <c r="A570" s="53"/>
      <c r="B570" s="9"/>
      <c r="C570" s="9"/>
      <c r="D570" s="9"/>
    </row>
    <row r="571" customFormat="false" ht="15.75" hidden="false" customHeight="false" outlineLevel="0" collapsed="false">
      <c r="A571" s="53"/>
      <c r="B571" s="9"/>
      <c r="C571" s="9"/>
      <c r="D571" s="9"/>
    </row>
    <row r="572" customFormat="false" ht="15.75" hidden="false" customHeight="false" outlineLevel="0" collapsed="false">
      <c r="A572" s="53"/>
      <c r="B572" s="9"/>
      <c r="C572" s="9"/>
      <c r="D572" s="9"/>
    </row>
    <row r="573" customFormat="false" ht="15.75" hidden="false" customHeight="false" outlineLevel="0" collapsed="false">
      <c r="A573" s="53"/>
      <c r="B573" s="9"/>
      <c r="C573" s="9"/>
      <c r="D573" s="9"/>
    </row>
    <row r="574" customFormat="false" ht="15.75" hidden="false" customHeight="false" outlineLevel="0" collapsed="false">
      <c r="A574" s="53"/>
      <c r="B574" s="9"/>
      <c r="C574" s="9"/>
      <c r="D574" s="9"/>
    </row>
    <row r="575" customFormat="false" ht="15.75" hidden="false" customHeight="false" outlineLevel="0" collapsed="false">
      <c r="A575" s="53"/>
      <c r="B575" s="9"/>
      <c r="C575" s="9"/>
      <c r="D575" s="9"/>
    </row>
    <row r="576" customFormat="false" ht="15.75" hidden="false" customHeight="false" outlineLevel="0" collapsed="false">
      <c r="A576" s="53"/>
      <c r="B576" s="9"/>
      <c r="C576" s="9"/>
      <c r="D576" s="9"/>
    </row>
    <row r="577" customFormat="false" ht="15.75" hidden="false" customHeight="false" outlineLevel="0" collapsed="false">
      <c r="A577" s="53"/>
      <c r="B577" s="9"/>
      <c r="C577" s="9"/>
      <c r="D577" s="9"/>
    </row>
    <row r="578" customFormat="false" ht="15.75" hidden="false" customHeight="false" outlineLevel="0" collapsed="false">
      <c r="A578" s="53"/>
      <c r="B578" s="9"/>
      <c r="C578" s="9"/>
      <c r="D578" s="9"/>
    </row>
    <row r="579" customFormat="false" ht="15.75" hidden="false" customHeight="false" outlineLevel="0" collapsed="false">
      <c r="A579" s="53"/>
      <c r="B579" s="9"/>
      <c r="C579" s="9"/>
      <c r="D579" s="9"/>
    </row>
    <row r="580" customFormat="false" ht="15.75" hidden="false" customHeight="false" outlineLevel="0" collapsed="false">
      <c r="A580" s="53"/>
      <c r="B580" s="9"/>
      <c r="C580" s="9"/>
      <c r="D580" s="9"/>
    </row>
    <row r="581" customFormat="false" ht="15.75" hidden="false" customHeight="false" outlineLevel="0" collapsed="false">
      <c r="A581" s="53"/>
      <c r="B581" s="9"/>
      <c r="C581" s="9"/>
      <c r="D581" s="9"/>
    </row>
    <row r="582" customFormat="false" ht="15.75" hidden="false" customHeight="false" outlineLevel="0" collapsed="false">
      <c r="A582" s="53"/>
      <c r="B582" s="9"/>
      <c r="C582" s="9"/>
      <c r="D582" s="9"/>
    </row>
    <row r="583" customFormat="false" ht="15.75" hidden="false" customHeight="false" outlineLevel="0" collapsed="false">
      <c r="A583" s="53"/>
      <c r="B583" s="9"/>
      <c r="C583" s="9"/>
      <c r="D583" s="9"/>
    </row>
    <row r="584" customFormat="false" ht="15.75" hidden="false" customHeight="false" outlineLevel="0" collapsed="false">
      <c r="A584" s="53"/>
      <c r="B584" s="9"/>
      <c r="C584" s="9"/>
      <c r="D584" s="9"/>
    </row>
    <row r="585" customFormat="false" ht="15.75" hidden="false" customHeight="false" outlineLevel="0" collapsed="false">
      <c r="A585" s="53"/>
      <c r="B585" s="9"/>
      <c r="C585" s="9"/>
      <c r="D585" s="9"/>
    </row>
    <row r="586" customFormat="false" ht="15.75" hidden="false" customHeight="false" outlineLevel="0" collapsed="false">
      <c r="A586" s="53"/>
      <c r="B586" s="9"/>
      <c r="C586" s="9"/>
      <c r="D586" s="9"/>
    </row>
    <row r="587" customFormat="false" ht="15.75" hidden="false" customHeight="false" outlineLevel="0" collapsed="false">
      <c r="A587" s="53"/>
      <c r="B587" s="9"/>
      <c r="C587" s="9"/>
      <c r="D587" s="9"/>
    </row>
    <row r="588" customFormat="false" ht="15.75" hidden="false" customHeight="false" outlineLevel="0" collapsed="false">
      <c r="A588" s="53"/>
      <c r="B588" s="9"/>
      <c r="C588" s="9"/>
      <c r="D588" s="9"/>
    </row>
    <row r="589" customFormat="false" ht="15.75" hidden="false" customHeight="false" outlineLevel="0" collapsed="false">
      <c r="A589" s="53"/>
      <c r="B589" s="9"/>
      <c r="C589" s="9"/>
      <c r="D589" s="9"/>
    </row>
    <row r="590" customFormat="false" ht="15.75" hidden="false" customHeight="false" outlineLevel="0" collapsed="false">
      <c r="A590" s="53"/>
      <c r="B590" s="9"/>
      <c r="C590" s="9"/>
      <c r="D590" s="9"/>
    </row>
    <row r="591" customFormat="false" ht="15.75" hidden="false" customHeight="false" outlineLevel="0" collapsed="false">
      <c r="A591" s="53"/>
      <c r="B591" s="9"/>
      <c r="C591" s="9"/>
      <c r="D591" s="9"/>
    </row>
    <row r="592" customFormat="false" ht="15.75" hidden="false" customHeight="false" outlineLevel="0" collapsed="false">
      <c r="A592" s="53"/>
      <c r="B592" s="9"/>
      <c r="C592" s="9"/>
      <c r="D592" s="9"/>
    </row>
    <row r="593" customFormat="false" ht="15.75" hidden="false" customHeight="false" outlineLevel="0" collapsed="false">
      <c r="A593" s="53"/>
      <c r="B593" s="9"/>
      <c r="C593" s="9"/>
      <c r="D593" s="9"/>
    </row>
    <row r="594" customFormat="false" ht="15.75" hidden="false" customHeight="false" outlineLevel="0" collapsed="false">
      <c r="A594" s="53"/>
      <c r="B594" s="9"/>
      <c r="C594" s="9"/>
      <c r="D594" s="9"/>
    </row>
    <row r="595" customFormat="false" ht="15.75" hidden="false" customHeight="false" outlineLevel="0" collapsed="false">
      <c r="A595" s="53"/>
      <c r="B595" s="9"/>
      <c r="C595" s="9"/>
      <c r="D595" s="9"/>
    </row>
    <row r="596" customFormat="false" ht="15.75" hidden="false" customHeight="false" outlineLevel="0" collapsed="false">
      <c r="A596" s="53"/>
      <c r="B596" s="9"/>
      <c r="C596" s="9"/>
      <c r="D596" s="9"/>
    </row>
    <row r="597" customFormat="false" ht="15.75" hidden="false" customHeight="false" outlineLevel="0" collapsed="false">
      <c r="A597" s="53"/>
      <c r="B597" s="9"/>
      <c r="C597" s="9"/>
      <c r="D597" s="9"/>
    </row>
    <row r="598" customFormat="false" ht="15.75" hidden="false" customHeight="false" outlineLevel="0" collapsed="false">
      <c r="A598" s="53"/>
      <c r="B598" s="9"/>
      <c r="C598" s="9"/>
      <c r="D598" s="9"/>
    </row>
    <row r="599" customFormat="false" ht="15.75" hidden="false" customHeight="false" outlineLevel="0" collapsed="false">
      <c r="A599" s="53"/>
      <c r="B599" s="9"/>
      <c r="C599" s="9"/>
      <c r="D599" s="9"/>
    </row>
    <row r="600" customFormat="false" ht="15.75" hidden="false" customHeight="false" outlineLevel="0" collapsed="false">
      <c r="A600" s="53"/>
      <c r="B600" s="9"/>
      <c r="C600" s="9"/>
      <c r="D600" s="9"/>
    </row>
    <row r="601" customFormat="false" ht="15.75" hidden="false" customHeight="false" outlineLevel="0" collapsed="false">
      <c r="A601" s="53"/>
      <c r="B601" s="9"/>
      <c r="C601" s="9"/>
      <c r="D601" s="9"/>
    </row>
    <row r="602" customFormat="false" ht="15.75" hidden="false" customHeight="false" outlineLevel="0" collapsed="false">
      <c r="A602" s="53"/>
      <c r="B602" s="9"/>
      <c r="C602" s="9"/>
      <c r="D602" s="9"/>
    </row>
    <row r="603" customFormat="false" ht="15.75" hidden="false" customHeight="false" outlineLevel="0" collapsed="false">
      <c r="A603" s="53"/>
      <c r="B603" s="9"/>
      <c r="C603" s="9"/>
      <c r="D603" s="9"/>
    </row>
    <row r="604" customFormat="false" ht="15.75" hidden="false" customHeight="false" outlineLevel="0" collapsed="false">
      <c r="A604" s="53"/>
      <c r="B604" s="9"/>
      <c r="C604" s="9"/>
      <c r="D604" s="9"/>
    </row>
    <row r="605" customFormat="false" ht="15.75" hidden="false" customHeight="false" outlineLevel="0" collapsed="false">
      <c r="A605" s="53"/>
      <c r="B605" s="9"/>
      <c r="C605" s="9"/>
      <c r="D605" s="9"/>
    </row>
    <row r="606" customFormat="false" ht="15.75" hidden="false" customHeight="false" outlineLevel="0" collapsed="false">
      <c r="A606" s="53"/>
      <c r="B606" s="9"/>
      <c r="C606" s="9"/>
      <c r="D606" s="9"/>
    </row>
    <row r="607" customFormat="false" ht="15.75" hidden="false" customHeight="false" outlineLevel="0" collapsed="false">
      <c r="A607" s="53"/>
      <c r="B607" s="9"/>
      <c r="C607" s="9"/>
      <c r="D607" s="9"/>
    </row>
    <row r="608" customFormat="false" ht="15.75" hidden="false" customHeight="false" outlineLevel="0" collapsed="false">
      <c r="A608" s="53"/>
      <c r="B608" s="9"/>
      <c r="C608" s="9"/>
      <c r="D608" s="9"/>
    </row>
    <row r="609" customFormat="false" ht="15.75" hidden="false" customHeight="false" outlineLevel="0" collapsed="false">
      <c r="A609" s="53"/>
      <c r="B609" s="9"/>
      <c r="C609" s="9"/>
      <c r="D609" s="9"/>
    </row>
    <row r="610" customFormat="false" ht="15.75" hidden="false" customHeight="false" outlineLevel="0" collapsed="false">
      <c r="A610" s="53"/>
      <c r="B610" s="9"/>
      <c r="C610" s="9"/>
      <c r="D610" s="9"/>
    </row>
    <row r="611" customFormat="false" ht="15.75" hidden="false" customHeight="false" outlineLevel="0" collapsed="false">
      <c r="A611" s="53"/>
      <c r="B611" s="9"/>
      <c r="C611" s="9"/>
      <c r="D611" s="9"/>
    </row>
    <row r="612" customFormat="false" ht="15.75" hidden="false" customHeight="false" outlineLevel="0" collapsed="false">
      <c r="A612" s="53"/>
      <c r="B612" s="9"/>
      <c r="C612" s="9"/>
      <c r="D612" s="9"/>
    </row>
    <row r="613" customFormat="false" ht="15.75" hidden="false" customHeight="false" outlineLevel="0" collapsed="false">
      <c r="A613" s="53"/>
      <c r="B613" s="9"/>
      <c r="C613" s="9"/>
      <c r="D613" s="9"/>
    </row>
    <row r="614" customFormat="false" ht="15.75" hidden="false" customHeight="false" outlineLevel="0" collapsed="false">
      <c r="A614" s="53"/>
      <c r="B614" s="9"/>
      <c r="C614" s="9"/>
      <c r="D614" s="9"/>
    </row>
    <row r="615" customFormat="false" ht="15.75" hidden="false" customHeight="false" outlineLevel="0" collapsed="false">
      <c r="A615" s="53"/>
      <c r="B615" s="9"/>
      <c r="C615" s="9"/>
      <c r="D615" s="9"/>
    </row>
    <row r="616" customFormat="false" ht="15.75" hidden="false" customHeight="false" outlineLevel="0" collapsed="false">
      <c r="A616" s="53"/>
      <c r="B616" s="9"/>
      <c r="C616" s="9"/>
      <c r="D616" s="9"/>
    </row>
    <row r="617" customFormat="false" ht="15.75" hidden="false" customHeight="false" outlineLevel="0" collapsed="false">
      <c r="A617" s="53"/>
      <c r="B617" s="9"/>
      <c r="C617" s="9"/>
      <c r="D617" s="9"/>
    </row>
    <row r="618" customFormat="false" ht="15.75" hidden="false" customHeight="false" outlineLevel="0" collapsed="false">
      <c r="A618" s="53"/>
      <c r="B618" s="9"/>
      <c r="C618" s="9"/>
      <c r="D618" s="9"/>
    </row>
    <row r="619" customFormat="false" ht="15.75" hidden="false" customHeight="false" outlineLevel="0" collapsed="false">
      <c r="A619" s="53"/>
      <c r="B619" s="9"/>
      <c r="C619" s="9"/>
      <c r="D619" s="9"/>
    </row>
    <row r="620" customFormat="false" ht="15.75" hidden="false" customHeight="false" outlineLevel="0" collapsed="false">
      <c r="A620" s="53"/>
      <c r="B620" s="9"/>
      <c r="C620" s="9"/>
      <c r="D620" s="9"/>
    </row>
    <row r="621" customFormat="false" ht="15.75" hidden="false" customHeight="false" outlineLevel="0" collapsed="false">
      <c r="A621" s="53"/>
      <c r="B621" s="9"/>
      <c r="C621" s="9"/>
      <c r="D621" s="9"/>
    </row>
    <row r="622" customFormat="false" ht="15.75" hidden="false" customHeight="false" outlineLevel="0" collapsed="false">
      <c r="A622" s="53"/>
      <c r="B622" s="9"/>
      <c r="C622" s="9"/>
      <c r="D622" s="9"/>
    </row>
    <row r="623" customFormat="false" ht="15.75" hidden="false" customHeight="false" outlineLevel="0" collapsed="false">
      <c r="A623" s="53"/>
      <c r="B623" s="9"/>
      <c r="C623" s="9"/>
      <c r="D623" s="9"/>
    </row>
    <row r="624" customFormat="false" ht="15.75" hidden="false" customHeight="false" outlineLevel="0" collapsed="false">
      <c r="A624" s="53"/>
      <c r="B624" s="9"/>
      <c r="C624" s="9"/>
      <c r="D624" s="9"/>
    </row>
    <row r="625" customFormat="false" ht="15.75" hidden="false" customHeight="false" outlineLevel="0" collapsed="false">
      <c r="A625" s="53"/>
      <c r="B625" s="9"/>
      <c r="C625" s="9"/>
      <c r="D625" s="9"/>
    </row>
    <row r="626" customFormat="false" ht="15.75" hidden="false" customHeight="false" outlineLevel="0" collapsed="false">
      <c r="A626" s="53"/>
      <c r="B626" s="9"/>
      <c r="C626" s="9"/>
      <c r="D626" s="9"/>
    </row>
    <row r="627" customFormat="false" ht="15.75" hidden="false" customHeight="false" outlineLevel="0" collapsed="false">
      <c r="A627" s="53"/>
      <c r="B627" s="9"/>
      <c r="C627" s="9"/>
      <c r="D627" s="9"/>
    </row>
    <row r="628" customFormat="false" ht="15.75" hidden="false" customHeight="false" outlineLevel="0" collapsed="false">
      <c r="A628" s="53"/>
      <c r="B628" s="9"/>
      <c r="C628" s="9"/>
      <c r="D628" s="9"/>
    </row>
    <row r="629" customFormat="false" ht="15.75" hidden="false" customHeight="false" outlineLevel="0" collapsed="false">
      <c r="A629" s="53"/>
      <c r="B629" s="9"/>
      <c r="C629" s="9"/>
      <c r="D629" s="9"/>
    </row>
    <row r="630" customFormat="false" ht="15.75" hidden="false" customHeight="false" outlineLevel="0" collapsed="false">
      <c r="A630" s="53"/>
      <c r="B630" s="9"/>
      <c r="C630" s="9"/>
      <c r="D630" s="9"/>
    </row>
    <row r="631" customFormat="false" ht="15.75" hidden="false" customHeight="false" outlineLevel="0" collapsed="false">
      <c r="A631" s="53"/>
      <c r="B631" s="9"/>
      <c r="C631" s="9"/>
      <c r="D631" s="9"/>
    </row>
    <row r="632" customFormat="false" ht="15.75" hidden="false" customHeight="false" outlineLevel="0" collapsed="false">
      <c r="A632" s="53"/>
      <c r="B632" s="9"/>
      <c r="C632" s="9"/>
      <c r="D632" s="9"/>
    </row>
    <row r="633" customFormat="false" ht="15.75" hidden="false" customHeight="false" outlineLevel="0" collapsed="false">
      <c r="A633" s="53"/>
      <c r="B633" s="9"/>
      <c r="C633" s="9"/>
      <c r="D633" s="9"/>
    </row>
    <row r="634" customFormat="false" ht="15.75" hidden="false" customHeight="false" outlineLevel="0" collapsed="false">
      <c r="A634" s="53"/>
      <c r="B634" s="9"/>
      <c r="C634" s="9"/>
      <c r="D634" s="9"/>
    </row>
    <row r="635" customFormat="false" ht="15.75" hidden="false" customHeight="false" outlineLevel="0" collapsed="false">
      <c r="A635" s="53"/>
      <c r="B635" s="9"/>
      <c r="C635" s="9"/>
      <c r="D635" s="9"/>
    </row>
    <row r="636" customFormat="false" ht="15.75" hidden="false" customHeight="false" outlineLevel="0" collapsed="false">
      <c r="A636" s="53"/>
      <c r="B636" s="9"/>
      <c r="C636" s="9"/>
      <c r="D636" s="9"/>
    </row>
    <row r="637" customFormat="false" ht="15.75" hidden="false" customHeight="false" outlineLevel="0" collapsed="false">
      <c r="A637" s="53"/>
      <c r="B637" s="9"/>
      <c r="C637" s="9"/>
      <c r="D637" s="9"/>
    </row>
    <row r="638" customFormat="false" ht="15.75" hidden="false" customHeight="false" outlineLevel="0" collapsed="false">
      <c r="A638" s="53"/>
      <c r="B638" s="9"/>
      <c r="C638" s="9"/>
      <c r="D638" s="9"/>
    </row>
    <row r="639" customFormat="false" ht="15.75" hidden="false" customHeight="false" outlineLevel="0" collapsed="false">
      <c r="A639" s="53"/>
      <c r="B639" s="9"/>
      <c r="C639" s="9"/>
      <c r="D639" s="9"/>
    </row>
    <row r="640" customFormat="false" ht="15.75" hidden="false" customHeight="false" outlineLevel="0" collapsed="false">
      <c r="A640" s="53"/>
      <c r="B640" s="9"/>
      <c r="C640" s="9"/>
      <c r="D640" s="9"/>
    </row>
    <row r="641" customFormat="false" ht="15.75" hidden="false" customHeight="false" outlineLevel="0" collapsed="false">
      <c r="A641" s="53"/>
      <c r="B641" s="9"/>
      <c r="C641" s="9"/>
      <c r="D641" s="9"/>
    </row>
    <row r="642" customFormat="false" ht="15.75" hidden="false" customHeight="false" outlineLevel="0" collapsed="false">
      <c r="A642" s="53"/>
      <c r="B642" s="9"/>
      <c r="C642" s="9"/>
      <c r="D642" s="9"/>
    </row>
    <row r="643" customFormat="false" ht="15.75" hidden="false" customHeight="false" outlineLevel="0" collapsed="false">
      <c r="A643" s="53"/>
      <c r="B643" s="9"/>
      <c r="C643" s="9"/>
      <c r="D643" s="9"/>
    </row>
    <row r="644" customFormat="false" ht="15.75" hidden="false" customHeight="false" outlineLevel="0" collapsed="false">
      <c r="A644" s="53"/>
      <c r="B644" s="9"/>
      <c r="C644" s="9"/>
      <c r="D644" s="9"/>
    </row>
    <row r="645" customFormat="false" ht="15.75" hidden="false" customHeight="false" outlineLevel="0" collapsed="false">
      <c r="A645" s="53"/>
      <c r="B645" s="9"/>
      <c r="C645" s="9"/>
      <c r="D645" s="9"/>
    </row>
    <row r="646" customFormat="false" ht="15.75" hidden="false" customHeight="false" outlineLevel="0" collapsed="false">
      <c r="A646" s="53"/>
      <c r="B646" s="9"/>
      <c r="C646" s="9"/>
      <c r="D646" s="9"/>
    </row>
    <row r="647" customFormat="false" ht="15.75" hidden="false" customHeight="false" outlineLevel="0" collapsed="false">
      <c r="A647" s="53"/>
      <c r="B647" s="9"/>
      <c r="C647" s="9"/>
      <c r="D647" s="9"/>
    </row>
    <row r="648" customFormat="false" ht="15.75" hidden="false" customHeight="false" outlineLevel="0" collapsed="false">
      <c r="A648" s="53"/>
      <c r="B648" s="9"/>
      <c r="C648" s="9"/>
      <c r="D648" s="9"/>
    </row>
    <row r="649" customFormat="false" ht="15.75" hidden="false" customHeight="false" outlineLevel="0" collapsed="false">
      <c r="A649" s="53"/>
      <c r="B649" s="9"/>
      <c r="C649" s="9"/>
      <c r="D649" s="9"/>
    </row>
    <row r="650" customFormat="false" ht="15.75" hidden="false" customHeight="false" outlineLevel="0" collapsed="false">
      <c r="A650" s="53"/>
      <c r="B650" s="9"/>
      <c r="C650" s="9"/>
      <c r="D650" s="9"/>
    </row>
    <row r="651" customFormat="false" ht="15.75" hidden="false" customHeight="false" outlineLevel="0" collapsed="false">
      <c r="A651" s="53"/>
      <c r="B651" s="9"/>
      <c r="C651" s="9"/>
      <c r="D651" s="9"/>
    </row>
    <row r="652" customFormat="false" ht="15.75" hidden="false" customHeight="false" outlineLevel="0" collapsed="false">
      <c r="A652" s="53"/>
      <c r="B652" s="9"/>
      <c r="C652" s="9"/>
      <c r="D652" s="9"/>
    </row>
    <row r="653" customFormat="false" ht="15.75" hidden="false" customHeight="false" outlineLevel="0" collapsed="false">
      <c r="A653" s="53"/>
      <c r="B653" s="9"/>
      <c r="C653" s="9"/>
      <c r="D653" s="9"/>
    </row>
    <row r="654" customFormat="false" ht="15.75" hidden="false" customHeight="false" outlineLevel="0" collapsed="false">
      <c r="A654" s="53"/>
      <c r="B654" s="9"/>
      <c r="C654" s="9"/>
      <c r="D654" s="9"/>
    </row>
    <row r="655" customFormat="false" ht="15.75" hidden="false" customHeight="false" outlineLevel="0" collapsed="false">
      <c r="A655" s="53"/>
      <c r="B655" s="9"/>
      <c r="C655" s="9"/>
      <c r="D655" s="9"/>
    </row>
    <row r="656" customFormat="false" ht="15.75" hidden="false" customHeight="false" outlineLevel="0" collapsed="false">
      <c r="A656" s="53"/>
      <c r="B656" s="9"/>
      <c r="C656" s="9"/>
      <c r="D656" s="9"/>
    </row>
    <row r="657" customFormat="false" ht="15.75" hidden="false" customHeight="false" outlineLevel="0" collapsed="false">
      <c r="A657" s="53"/>
      <c r="B657" s="9"/>
      <c r="C657" s="9"/>
      <c r="D657" s="9"/>
    </row>
    <row r="658" customFormat="false" ht="15.75" hidden="false" customHeight="false" outlineLevel="0" collapsed="false">
      <c r="A658" s="53"/>
      <c r="B658" s="9"/>
      <c r="C658" s="9"/>
      <c r="D658" s="9"/>
    </row>
    <row r="659" customFormat="false" ht="15.75" hidden="false" customHeight="false" outlineLevel="0" collapsed="false">
      <c r="A659" s="53"/>
      <c r="B659" s="9"/>
      <c r="C659" s="9"/>
      <c r="D659" s="9"/>
    </row>
    <row r="660" customFormat="false" ht="15.75" hidden="false" customHeight="false" outlineLevel="0" collapsed="false">
      <c r="A660" s="53"/>
      <c r="B660" s="9"/>
      <c r="C660" s="9"/>
      <c r="D660" s="9"/>
    </row>
    <row r="661" customFormat="false" ht="15.75" hidden="false" customHeight="false" outlineLevel="0" collapsed="false">
      <c r="A661" s="53"/>
      <c r="B661" s="9"/>
      <c r="C661" s="9"/>
      <c r="D661" s="9"/>
    </row>
    <row r="662" customFormat="false" ht="15.75" hidden="false" customHeight="false" outlineLevel="0" collapsed="false">
      <c r="A662" s="53"/>
      <c r="B662" s="9"/>
      <c r="C662" s="9"/>
      <c r="D662" s="9"/>
    </row>
    <row r="663" customFormat="false" ht="15.75" hidden="false" customHeight="false" outlineLevel="0" collapsed="false">
      <c r="A663" s="53"/>
      <c r="B663" s="9"/>
      <c r="C663" s="9"/>
      <c r="D663" s="9"/>
    </row>
    <row r="664" customFormat="false" ht="15.75" hidden="false" customHeight="false" outlineLevel="0" collapsed="false">
      <c r="A664" s="53"/>
      <c r="B664" s="9"/>
      <c r="C664" s="9"/>
      <c r="D664" s="9"/>
    </row>
    <row r="665" customFormat="false" ht="15.75" hidden="false" customHeight="false" outlineLevel="0" collapsed="false">
      <c r="A665" s="53"/>
      <c r="B665" s="9"/>
      <c r="C665" s="9"/>
      <c r="D665" s="9"/>
    </row>
    <row r="666" customFormat="false" ht="15.75" hidden="false" customHeight="false" outlineLevel="0" collapsed="false">
      <c r="A666" s="53"/>
      <c r="B666" s="9"/>
      <c r="C666" s="9"/>
      <c r="D666" s="9"/>
    </row>
    <row r="667" customFormat="false" ht="15.75" hidden="false" customHeight="false" outlineLevel="0" collapsed="false">
      <c r="A667" s="53"/>
      <c r="B667" s="9"/>
      <c r="C667" s="9"/>
      <c r="D667" s="9"/>
    </row>
    <row r="668" customFormat="false" ht="15.75" hidden="false" customHeight="false" outlineLevel="0" collapsed="false">
      <c r="A668" s="53"/>
      <c r="B668" s="9"/>
      <c r="C668" s="9"/>
      <c r="D668" s="9"/>
    </row>
    <row r="669" customFormat="false" ht="15.75" hidden="false" customHeight="false" outlineLevel="0" collapsed="false">
      <c r="A669" s="53"/>
      <c r="B669" s="9"/>
      <c r="C669" s="9"/>
      <c r="D669" s="9"/>
    </row>
    <row r="670" customFormat="false" ht="15.75" hidden="false" customHeight="false" outlineLevel="0" collapsed="false">
      <c r="A670" s="53"/>
      <c r="B670" s="9"/>
      <c r="C670" s="9"/>
      <c r="D670" s="9"/>
    </row>
    <row r="671" customFormat="false" ht="15.75" hidden="false" customHeight="false" outlineLevel="0" collapsed="false">
      <c r="A671" s="53"/>
      <c r="B671" s="9"/>
      <c r="C671" s="9"/>
      <c r="D671" s="9"/>
    </row>
    <row r="672" customFormat="false" ht="15.75" hidden="false" customHeight="false" outlineLevel="0" collapsed="false">
      <c r="A672" s="53"/>
      <c r="B672" s="9"/>
      <c r="C672" s="9"/>
      <c r="D672" s="9"/>
    </row>
    <row r="673" customFormat="false" ht="15.75" hidden="false" customHeight="false" outlineLevel="0" collapsed="false">
      <c r="A673" s="53"/>
      <c r="B673" s="9"/>
      <c r="C673" s="9"/>
      <c r="D673" s="9"/>
    </row>
    <row r="674" customFormat="false" ht="15.75" hidden="false" customHeight="false" outlineLevel="0" collapsed="false">
      <c r="A674" s="53"/>
      <c r="B674" s="9"/>
      <c r="C674" s="9"/>
      <c r="D674" s="9"/>
    </row>
    <row r="675" customFormat="false" ht="15.75" hidden="false" customHeight="false" outlineLevel="0" collapsed="false">
      <c r="A675" s="53"/>
      <c r="B675" s="9"/>
      <c r="C675" s="9"/>
      <c r="D675" s="9"/>
    </row>
    <row r="676" customFormat="false" ht="15.75" hidden="false" customHeight="false" outlineLevel="0" collapsed="false">
      <c r="A676" s="53"/>
      <c r="B676" s="9"/>
      <c r="C676" s="9"/>
      <c r="D676" s="9"/>
    </row>
    <row r="677" customFormat="false" ht="15.75" hidden="false" customHeight="false" outlineLevel="0" collapsed="false">
      <c r="A677" s="53"/>
      <c r="B677" s="9"/>
      <c r="C677" s="9"/>
      <c r="D677" s="9"/>
    </row>
    <row r="678" customFormat="false" ht="15.75" hidden="false" customHeight="false" outlineLevel="0" collapsed="false">
      <c r="A678" s="53"/>
      <c r="B678" s="9"/>
      <c r="C678" s="9"/>
      <c r="D678" s="9"/>
    </row>
    <row r="679" customFormat="false" ht="15.75" hidden="false" customHeight="false" outlineLevel="0" collapsed="false">
      <c r="A679" s="53"/>
      <c r="B679" s="9"/>
      <c r="C679" s="9"/>
      <c r="D679" s="9"/>
    </row>
    <row r="680" customFormat="false" ht="15.75" hidden="false" customHeight="false" outlineLevel="0" collapsed="false">
      <c r="A680" s="53"/>
      <c r="B680" s="9"/>
      <c r="C680" s="9"/>
      <c r="D680" s="9"/>
    </row>
    <row r="681" customFormat="false" ht="15.75" hidden="false" customHeight="false" outlineLevel="0" collapsed="false">
      <c r="A681" s="53"/>
      <c r="B681" s="9"/>
      <c r="C681" s="9"/>
      <c r="D681" s="9"/>
    </row>
    <row r="682" customFormat="false" ht="15.75" hidden="false" customHeight="false" outlineLevel="0" collapsed="false">
      <c r="A682" s="53"/>
      <c r="B682" s="9"/>
      <c r="C682" s="9"/>
      <c r="D682" s="9"/>
    </row>
    <row r="683" customFormat="false" ht="15.75" hidden="false" customHeight="false" outlineLevel="0" collapsed="false">
      <c r="A683" s="53"/>
      <c r="B683" s="9"/>
      <c r="C683" s="9"/>
      <c r="D683" s="9"/>
    </row>
    <row r="684" customFormat="false" ht="15.75" hidden="false" customHeight="false" outlineLevel="0" collapsed="false">
      <c r="A684" s="53"/>
      <c r="B684" s="9"/>
      <c r="C684" s="9"/>
      <c r="D684" s="9"/>
    </row>
    <row r="685" customFormat="false" ht="15.75" hidden="false" customHeight="false" outlineLevel="0" collapsed="false">
      <c r="A685" s="53"/>
      <c r="B685" s="9"/>
      <c r="C685" s="9"/>
      <c r="D685" s="9"/>
    </row>
    <row r="686" customFormat="false" ht="15.75" hidden="false" customHeight="false" outlineLevel="0" collapsed="false">
      <c r="A686" s="53"/>
      <c r="B686" s="9"/>
      <c r="C686" s="9"/>
      <c r="D686" s="9"/>
    </row>
    <row r="687" customFormat="false" ht="15.75" hidden="false" customHeight="false" outlineLevel="0" collapsed="false">
      <c r="A687" s="53"/>
      <c r="B687" s="9"/>
      <c r="C687" s="9"/>
      <c r="D687" s="9"/>
    </row>
    <row r="688" customFormat="false" ht="15.75" hidden="false" customHeight="false" outlineLevel="0" collapsed="false">
      <c r="A688" s="53"/>
      <c r="B688" s="9"/>
      <c r="C688" s="9"/>
      <c r="D688" s="9"/>
    </row>
    <row r="689" customFormat="false" ht="15.75" hidden="false" customHeight="false" outlineLevel="0" collapsed="false">
      <c r="A689" s="53"/>
      <c r="B689" s="9"/>
      <c r="C689" s="9"/>
      <c r="D689" s="9"/>
    </row>
    <row r="690" customFormat="false" ht="15.75" hidden="false" customHeight="false" outlineLevel="0" collapsed="false">
      <c r="A690" s="53"/>
      <c r="B690" s="9"/>
      <c r="C690" s="9"/>
      <c r="D690" s="9"/>
    </row>
    <row r="691" customFormat="false" ht="15.75" hidden="false" customHeight="false" outlineLevel="0" collapsed="false">
      <c r="A691" s="53"/>
      <c r="B691" s="9"/>
      <c r="C691" s="9"/>
      <c r="D691" s="9"/>
    </row>
    <row r="692" customFormat="false" ht="15.75" hidden="false" customHeight="false" outlineLevel="0" collapsed="false">
      <c r="A692" s="53"/>
      <c r="B692" s="9"/>
      <c r="C692" s="9"/>
      <c r="D692" s="9"/>
    </row>
    <row r="693" customFormat="false" ht="15.75" hidden="false" customHeight="false" outlineLevel="0" collapsed="false">
      <c r="A693" s="53"/>
      <c r="B693" s="9"/>
      <c r="C693" s="9"/>
      <c r="D693" s="9"/>
    </row>
    <row r="694" customFormat="false" ht="15.75" hidden="false" customHeight="false" outlineLevel="0" collapsed="false">
      <c r="A694" s="53"/>
      <c r="B694" s="9"/>
      <c r="C694" s="9"/>
      <c r="D694" s="9"/>
    </row>
    <row r="695" customFormat="false" ht="15.75" hidden="false" customHeight="false" outlineLevel="0" collapsed="false">
      <c r="A695" s="53"/>
      <c r="B695" s="9"/>
      <c r="C695" s="9"/>
      <c r="D695" s="9"/>
    </row>
    <row r="696" customFormat="false" ht="15.75" hidden="false" customHeight="false" outlineLevel="0" collapsed="false">
      <c r="A696" s="53"/>
      <c r="B696" s="9"/>
      <c r="C696" s="9"/>
      <c r="D696" s="9"/>
    </row>
    <row r="697" customFormat="false" ht="15.75" hidden="false" customHeight="false" outlineLevel="0" collapsed="false">
      <c r="A697" s="53"/>
      <c r="B697" s="9"/>
      <c r="C697" s="9"/>
      <c r="D697" s="9"/>
    </row>
    <row r="698" customFormat="false" ht="15.75" hidden="false" customHeight="false" outlineLevel="0" collapsed="false">
      <c r="A698" s="53"/>
      <c r="B698" s="9"/>
      <c r="C698" s="9"/>
      <c r="D698" s="9"/>
    </row>
    <row r="699" customFormat="false" ht="15.75" hidden="false" customHeight="false" outlineLevel="0" collapsed="false">
      <c r="A699" s="53"/>
      <c r="B699" s="9"/>
      <c r="C699" s="9"/>
      <c r="D699" s="9"/>
    </row>
    <row r="700" customFormat="false" ht="15.75" hidden="false" customHeight="false" outlineLevel="0" collapsed="false">
      <c r="A700" s="53"/>
      <c r="B700" s="9"/>
      <c r="C700" s="9"/>
      <c r="D700" s="9"/>
    </row>
    <row r="701" customFormat="false" ht="15.75" hidden="false" customHeight="false" outlineLevel="0" collapsed="false">
      <c r="A701" s="53"/>
      <c r="B701" s="9"/>
      <c r="C701" s="9"/>
      <c r="D701" s="9"/>
    </row>
    <row r="702" customFormat="false" ht="15.75" hidden="false" customHeight="false" outlineLevel="0" collapsed="false">
      <c r="A702" s="53"/>
      <c r="B702" s="9"/>
      <c r="C702" s="9"/>
      <c r="D702" s="9"/>
    </row>
    <row r="703" customFormat="false" ht="15.75" hidden="false" customHeight="false" outlineLevel="0" collapsed="false">
      <c r="A703" s="53"/>
      <c r="B703" s="9"/>
      <c r="C703" s="9"/>
      <c r="D703" s="9"/>
    </row>
    <row r="704" customFormat="false" ht="15.75" hidden="false" customHeight="false" outlineLevel="0" collapsed="false">
      <c r="A704" s="53"/>
      <c r="B704" s="9"/>
      <c r="C704" s="9"/>
      <c r="D704" s="9"/>
    </row>
    <row r="705" customFormat="false" ht="15.75" hidden="false" customHeight="false" outlineLevel="0" collapsed="false">
      <c r="A705" s="53"/>
      <c r="B705" s="9"/>
      <c r="C705" s="9"/>
      <c r="D705" s="9"/>
    </row>
    <row r="706" customFormat="false" ht="15.75" hidden="false" customHeight="false" outlineLevel="0" collapsed="false">
      <c r="A706" s="53"/>
      <c r="B706" s="9"/>
      <c r="C706" s="9"/>
      <c r="D706" s="9"/>
    </row>
    <row r="707" customFormat="false" ht="15.75" hidden="false" customHeight="false" outlineLevel="0" collapsed="false">
      <c r="A707" s="53"/>
      <c r="B707" s="9"/>
      <c r="C707" s="9"/>
      <c r="D707" s="9"/>
    </row>
    <row r="708" customFormat="false" ht="15.75" hidden="false" customHeight="false" outlineLevel="0" collapsed="false">
      <c r="A708" s="53"/>
      <c r="B708" s="9"/>
      <c r="C708" s="9"/>
      <c r="D708" s="9"/>
    </row>
    <row r="709" customFormat="false" ht="15.75" hidden="false" customHeight="false" outlineLevel="0" collapsed="false">
      <c r="A709" s="53"/>
      <c r="B709" s="9"/>
      <c r="C709" s="9"/>
      <c r="D709" s="9"/>
    </row>
    <row r="710" customFormat="false" ht="15.75" hidden="false" customHeight="false" outlineLevel="0" collapsed="false">
      <c r="A710" s="53"/>
      <c r="B710" s="9"/>
      <c r="C710" s="9"/>
      <c r="D710" s="9"/>
    </row>
    <row r="711" customFormat="false" ht="15.75" hidden="false" customHeight="false" outlineLevel="0" collapsed="false">
      <c r="A711" s="53"/>
      <c r="B711" s="9"/>
      <c r="C711" s="9"/>
      <c r="D711" s="9"/>
    </row>
    <row r="712" customFormat="false" ht="15.75" hidden="false" customHeight="false" outlineLevel="0" collapsed="false">
      <c r="A712" s="53"/>
      <c r="B712" s="9"/>
      <c r="C712" s="9"/>
      <c r="D712" s="9"/>
    </row>
    <row r="713" customFormat="false" ht="15.75" hidden="false" customHeight="false" outlineLevel="0" collapsed="false">
      <c r="A713" s="53"/>
      <c r="B713" s="9"/>
      <c r="C713" s="9"/>
      <c r="D713" s="9"/>
    </row>
    <row r="714" customFormat="false" ht="15.75" hidden="false" customHeight="false" outlineLevel="0" collapsed="false">
      <c r="A714" s="53"/>
      <c r="B714" s="9"/>
      <c r="C714" s="9"/>
      <c r="D714" s="9"/>
    </row>
    <row r="715" customFormat="false" ht="15.75" hidden="false" customHeight="false" outlineLevel="0" collapsed="false">
      <c r="A715" s="53"/>
      <c r="B715" s="9"/>
      <c r="C715" s="9"/>
      <c r="D715" s="9"/>
    </row>
    <row r="716" customFormat="false" ht="15.75" hidden="false" customHeight="false" outlineLevel="0" collapsed="false">
      <c r="A716" s="53"/>
      <c r="B716" s="9"/>
      <c r="C716" s="9"/>
      <c r="D716" s="9"/>
    </row>
    <row r="717" customFormat="false" ht="15.75" hidden="false" customHeight="false" outlineLevel="0" collapsed="false">
      <c r="A717" s="53"/>
      <c r="B717" s="9"/>
      <c r="C717" s="9"/>
      <c r="D717" s="9"/>
    </row>
    <row r="718" customFormat="false" ht="15.75" hidden="false" customHeight="false" outlineLevel="0" collapsed="false">
      <c r="A718" s="53"/>
      <c r="B718" s="9"/>
      <c r="C718" s="9"/>
      <c r="D718" s="9"/>
    </row>
    <row r="719" customFormat="false" ht="15.75" hidden="false" customHeight="false" outlineLevel="0" collapsed="false">
      <c r="A719" s="53"/>
      <c r="B719" s="9"/>
      <c r="C719" s="9"/>
      <c r="D719" s="9"/>
    </row>
    <row r="720" customFormat="false" ht="15.75" hidden="false" customHeight="false" outlineLevel="0" collapsed="false">
      <c r="A720" s="53"/>
      <c r="B720" s="9"/>
      <c r="C720" s="9"/>
      <c r="D720" s="9"/>
    </row>
    <row r="721" customFormat="false" ht="15.75" hidden="false" customHeight="false" outlineLevel="0" collapsed="false">
      <c r="A721" s="53"/>
      <c r="B721" s="9"/>
      <c r="C721" s="9"/>
      <c r="D721" s="9"/>
    </row>
    <row r="722" customFormat="false" ht="15.75" hidden="false" customHeight="false" outlineLevel="0" collapsed="false">
      <c r="A722" s="53"/>
      <c r="B722" s="9"/>
      <c r="C722" s="9"/>
      <c r="D722" s="9"/>
    </row>
    <row r="723" customFormat="false" ht="15.75" hidden="false" customHeight="false" outlineLevel="0" collapsed="false">
      <c r="A723" s="53"/>
      <c r="B723" s="9"/>
      <c r="C723" s="9"/>
      <c r="D723" s="9"/>
    </row>
    <row r="724" customFormat="false" ht="15.75" hidden="false" customHeight="false" outlineLevel="0" collapsed="false">
      <c r="A724" s="53"/>
      <c r="B724" s="9"/>
      <c r="C724" s="9"/>
      <c r="D724" s="9"/>
    </row>
    <row r="725" customFormat="false" ht="15.75" hidden="false" customHeight="false" outlineLevel="0" collapsed="false">
      <c r="A725" s="53"/>
      <c r="B725" s="9"/>
      <c r="C725" s="9"/>
      <c r="D725" s="9"/>
    </row>
    <row r="726" customFormat="false" ht="15.75" hidden="false" customHeight="false" outlineLevel="0" collapsed="false">
      <c r="A726" s="53"/>
      <c r="B726" s="9"/>
      <c r="C726" s="9"/>
      <c r="D726" s="9"/>
    </row>
    <row r="727" customFormat="false" ht="15.75" hidden="false" customHeight="false" outlineLevel="0" collapsed="false">
      <c r="A727" s="53"/>
      <c r="B727" s="9"/>
      <c r="C727" s="9"/>
      <c r="D727" s="9"/>
    </row>
    <row r="728" customFormat="false" ht="15.75" hidden="false" customHeight="false" outlineLevel="0" collapsed="false">
      <c r="A728" s="53"/>
      <c r="B728" s="9"/>
      <c r="C728" s="9"/>
      <c r="D728" s="9"/>
    </row>
    <row r="729" customFormat="false" ht="15.75" hidden="false" customHeight="false" outlineLevel="0" collapsed="false">
      <c r="A729" s="53"/>
      <c r="B729" s="9"/>
      <c r="C729" s="9"/>
      <c r="D729" s="9"/>
    </row>
    <row r="730" customFormat="false" ht="15.75" hidden="false" customHeight="false" outlineLevel="0" collapsed="false">
      <c r="A730" s="53"/>
      <c r="B730" s="9"/>
      <c r="C730" s="9"/>
      <c r="D730" s="9"/>
    </row>
    <row r="731" customFormat="false" ht="15.75" hidden="false" customHeight="false" outlineLevel="0" collapsed="false">
      <c r="A731" s="53"/>
      <c r="B731" s="9"/>
      <c r="C731" s="9"/>
      <c r="D731" s="9"/>
    </row>
    <row r="732" customFormat="false" ht="15.75" hidden="false" customHeight="false" outlineLevel="0" collapsed="false">
      <c r="A732" s="53"/>
      <c r="B732" s="9"/>
      <c r="C732" s="9"/>
      <c r="D732" s="9"/>
    </row>
    <row r="733" customFormat="false" ht="15.75" hidden="false" customHeight="false" outlineLevel="0" collapsed="false">
      <c r="A733" s="53"/>
      <c r="B733" s="9"/>
      <c r="C733" s="9"/>
      <c r="D733" s="9"/>
    </row>
    <row r="734" customFormat="false" ht="15.75" hidden="false" customHeight="false" outlineLevel="0" collapsed="false">
      <c r="A734" s="53"/>
      <c r="B734" s="9"/>
      <c r="C734" s="9"/>
      <c r="D734" s="9"/>
    </row>
    <row r="735" customFormat="false" ht="15.75" hidden="false" customHeight="false" outlineLevel="0" collapsed="false">
      <c r="A735" s="53"/>
      <c r="B735" s="9"/>
      <c r="C735" s="9"/>
      <c r="D735" s="9"/>
    </row>
    <row r="736" customFormat="false" ht="15.75" hidden="false" customHeight="false" outlineLevel="0" collapsed="false">
      <c r="A736" s="53"/>
      <c r="B736" s="9"/>
      <c r="C736" s="9"/>
      <c r="D736" s="9"/>
    </row>
    <row r="737" customFormat="false" ht="15.75" hidden="false" customHeight="false" outlineLevel="0" collapsed="false">
      <c r="A737" s="53"/>
      <c r="B737" s="9"/>
      <c r="C737" s="9"/>
      <c r="D737" s="9"/>
    </row>
    <row r="738" customFormat="false" ht="15.75" hidden="false" customHeight="false" outlineLevel="0" collapsed="false">
      <c r="A738" s="53"/>
      <c r="B738" s="9"/>
      <c r="C738" s="9"/>
      <c r="D738" s="9"/>
    </row>
    <row r="739" customFormat="false" ht="15.75" hidden="false" customHeight="false" outlineLevel="0" collapsed="false">
      <c r="A739" s="53"/>
      <c r="B739" s="9"/>
      <c r="C739" s="9"/>
      <c r="D739" s="9"/>
    </row>
    <row r="740" customFormat="false" ht="15.75" hidden="false" customHeight="false" outlineLevel="0" collapsed="false">
      <c r="A740" s="53"/>
      <c r="B740" s="9"/>
      <c r="C740" s="9"/>
      <c r="D740" s="9"/>
    </row>
    <row r="741" customFormat="false" ht="15.75" hidden="false" customHeight="false" outlineLevel="0" collapsed="false">
      <c r="A741" s="53"/>
      <c r="B741" s="9"/>
      <c r="C741" s="9"/>
      <c r="D741" s="9"/>
    </row>
    <row r="742" customFormat="false" ht="15.75" hidden="false" customHeight="false" outlineLevel="0" collapsed="false">
      <c r="A742" s="53"/>
      <c r="B742" s="9"/>
      <c r="C742" s="9"/>
      <c r="D742" s="9"/>
    </row>
    <row r="743" customFormat="false" ht="15.75" hidden="false" customHeight="false" outlineLevel="0" collapsed="false">
      <c r="A743" s="53"/>
      <c r="B743" s="9"/>
      <c r="C743" s="9"/>
      <c r="D743" s="9"/>
    </row>
    <row r="744" customFormat="false" ht="15.75" hidden="false" customHeight="false" outlineLevel="0" collapsed="false">
      <c r="A744" s="53"/>
      <c r="B744" s="9"/>
      <c r="C744" s="9"/>
      <c r="D744" s="9"/>
    </row>
    <row r="745" customFormat="false" ht="15.75" hidden="false" customHeight="false" outlineLevel="0" collapsed="false">
      <c r="A745" s="53"/>
      <c r="B745" s="9"/>
      <c r="C745" s="9"/>
      <c r="D745" s="9"/>
    </row>
    <row r="746" customFormat="false" ht="15.75" hidden="false" customHeight="false" outlineLevel="0" collapsed="false">
      <c r="A746" s="53"/>
      <c r="B746" s="9"/>
      <c r="C746" s="9"/>
      <c r="D746" s="9"/>
    </row>
    <row r="747" customFormat="false" ht="15.75" hidden="false" customHeight="false" outlineLevel="0" collapsed="false">
      <c r="A747" s="53"/>
      <c r="B747" s="9"/>
      <c r="C747" s="9"/>
      <c r="D747" s="9"/>
    </row>
    <row r="748" customFormat="false" ht="15.75" hidden="false" customHeight="false" outlineLevel="0" collapsed="false">
      <c r="A748" s="53"/>
      <c r="B748" s="9"/>
      <c r="C748" s="9"/>
      <c r="D748" s="9"/>
    </row>
    <row r="749" customFormat="false" ht="15.75" hidden="false" customHeight="false" outlineLevel="0" collapsed="false">
      <c r="A749" s="53"/>
      <c r="B749" s="9"/>
      <c r="C749" s="9"/>
      <c r="D749" s="9"/>
    </row>
    <row r="750" customFormat="false" ht="15.75" hidden="false" customHeight="false" outlineLevel="0" collapsed="false">
      <c r="A750" s="53"/>
      <c r="B750" s="9"/>
      <c r="C750" s="9"/>
      <c r="D750" s="9"/>
    </row>
    <row r="751" customFormat="false" ht="15.75" hidden="false" customHeight="false" outlineLevel="0" collapsed="false">
      <c r="A751" s="53"/>
      <c r="B751" s="9"/>
      <c r="C751" s="9"/>
      <c r="D751" s="9"/>
    </row>
    <row r="752" customFormat="false" ht="15.75" hidden="false" customHeight="false" outlineLevel="0" collapsed="false">
      <c r="A752" s="53"/>
      <c r="B752" s="9"/>
      <c r="C752" s="9"/>
      <c r="D752" s="9"/>
    </row>
    <row r="753" customFormat="false" ht="15.75" hidden="false" customHeight="false" outlineLevel="0" collapsed="false">
      <c r="A753" s="53"/>
      <c r="B753" s="9"/>
      <c r="C753" s="9"/>
      <c r="D753" s="9"/>
    </row>
    <row r="754" customFormat="false" ht="15.75" hidden="false" customHeight="false" outlineLevel="0" collapsed="false">
      <c r="A754" s="53"/>
      <c r="B754" s="9"/>
      <c r="C754" s="9"/>
      <c r="D754" s="9"/>
    </row>
    <row r="755" customFormat="false" ht="15.75" hidden="false" customHeight="false" outlineLevel="0" collapsed="false">
      <c r="A755" s="53"/>
      <c r="B755" s="9"/>
      <c r="C755" s="9"/>
      <c r="D755" s="9"/>
    </row>
    <row r="756" customFormat="false" ht="15.75" hidden="false" customHeight="false" outlineLevel="0" collapsed="false">
      <c r="A756" s="53"/>
      <c r="B756" s="9"/>
      <c r="C756" s="9"/>
      <c r="D756" s="9"/>
    </row>
    <row r="757" customFormat="false" ht="15.75" hidden="false" customHeight="false" outlineLevel="0" collapsed="false">
      <c r="A757" s="53"/>
      <c r="B757" s="9"/>
      <c r="C757" s="9"/>
      <c r="D757" s="9"/>
    </row>
    <row r="758" customFormat="false" ht="15.75" hidden="false" customHeight="false" outlineLevel="0" collapsed="false">
      <c r="A758" s="53"/>
      <c r="B758" s="9"/>
      <c r="C758" s="9"/>
      <c r="D758" s="9"/>
    </row>
    <row r="759" customFormat="false" ht="15.75" hidden="false" customHeight="false" outlineLevel="0" collapsed="false">
      <c r="A759" s="53"/>
      <c r="B759" s="9"/>
      <c r="C759" s="9"/>
      <c r="D759" s="9"/>
    </row>
    <row r="760" customFormat="false" ht="15.75" hidden="false" customHeight="false" outlineLevel="0" collapsed="false">
      <c r="A760" s="53"/>
      <c r="B760" s="9"/>
      <c r="C760" s="9"/>
      <c r="D760" s="9"/>
    </row>
    <row r="761" customFormat="false" ht="15.75" hidden="false" customHeight="false" outlineLevel="0" collapsed="false">
      <c r="A761" s="53"/>
      <c r="B761" s="9"/>
      <c r="C761" s="9"/>
      <c r="D761" s="9"/>
    </row>
    <row r="762" customFormat="false" ht="15.75" hidden="false" customHeight="false" outlineLevel="0" collapsed="false">
      <c r="A762" s="53"/>
      <c r="B762" s="9"/>
      <c r="C762" s="9"/>
      <c r="D762" s="9"/>
    </row>
    <row r="763" customFormat="false" ht="15.75" hidden="false" customHeight="false" outlineLevel="0" collapsed="false">
      <c r="A763" s="53"/>
      <c r="B763" s="9"/>
      <c r="C763" s="9"/>
      <c r="D763" s="9"/>
    </row>
    <row r="764" customFormat="false" ht="15.75" hidden="false" customHeight="false" outlineLevel="0" collapsed="false">
      <c r="A764" s="53"/>
      <c r="B764" s="9"/>
      <c r="C764" s="9"/>
      <c r="D764" s="9"/>
    </row>
    <row r="765" customFormat="false" ht="15.75" hidden="false" customHeight="false" outlineLevel="0" collapsed="false">
      <c r="A765" s="53"/>
      <c r="B765" s="9"/>
      <c r="C765" s="9"/>
      <c r="D765" s="9"/>
    </row>
    <row r="766" customFormat="false" ht="15.75" hidden="false" customHeight="false" outlineLevel="0" collapsed="false">
      <c r="A766" s="53"/>
      <c r="B766" s="9"/>
      <c r="C766" s="9"/>
      <c r="D766" s="9"/>
    </row>
    <row r="767" customFormat="false" ht="15.75" hidden="false" customHeight="false" outlineLevel="0" collapsed="false">
      <c r="A767" s="53"/>
      <c r="B767" s="9"/>
      <c r="C767" s="9"/>
      <c r="D767" s="9"/>
    </row>
    <row r="768" customFormat="false" ht="15.75" hidden="false" customHeight="false" outlineLevel="0" collapsed="false">
      <c r="A768" s="53"/>
      <c r="B768" s="9"/>
      <c r="C768" s="9"/>
      <c r="D768" s="9"/>
    </row>
    <row r="769" customFormat="false" ht="15.75" hidden="false" customHeight="false" outlineLevel="0" collapsed="false">
      <c r="A769" s="53"/>
      <c r="B769" s="9"/>
      <c r="C769" s="9"/>
      <c r="D769" s="9"/>
    </row>
    <row r="770" customFormat="false" ht="15.75" hidden="false" customHeight="false" outlineLevel="0" collapsed="false">
      <c r="A770" s="53"/>
      <c r="B770" s="9"/>
      <c r="C770" s="9"/>
      <c r="D770" s="9"/>
    </row>
    <row r="771" customFormat="false" ht="15.75" hidden="false" customHeight="false" outlineLevel="0" collapsed="false">
      <c r="A771" s="53"/>
      <c r="B771" s="9"/>
      <c r="C771" s="9"/>
      <c r="D771" s="9"/>
    </row>
    <row r="772" customFormat="false" ht="15.75" hidden="false" customHeight="false" outlineLevel="0" collapsed="false">
      <c r="A772" s="53"/>
      <c r="B772" s="9"/>
      <c r="C772" s="9"/>
      <c r="D772" s="9"/>
    </row>
    <row r="773" customFormat="false" ht="15.75" hidden="false" customHeight="false" outlineLevel="0" collapsed="false">
      <c r="A773" s="53"/>
      <c r="B773" s="9"/>
      <c r="C773" s="9"/>
      <c r="D773" s="9"/>
    </row>
    <row r="774" customFormat="false" ht="15.75" hidden="false" customHeight="false" outlineLevel="0" collapsed="false">
      <c r="A774" s="53"/>
      <c r="B774" s="9"/>
      <c r="C774" s="9"/>
      <c r="D774" s="9"/>
    </row>
    <row r="775" customFormat="false" ht="15.75" hidden="false" customHeight="false" outlineLevel="0" collapsed="false">
      <c r="A775" s="53"/>
      <c r="B775" s="9"/>
      <c r="C775" s="9"/>
      <c r="D775" s="9"/>
    </row>
    <row r="776" customFormat="false" ht="15.75" hidden="false" customHeight="false" outlineLevel="0" collapsed="false">
      <c r="A776" s="53"/>
      <c r="B776" s="9"/>
      <c r="C776" s="9"/>
      <c r="D776" s="9"/>
    </row>
    <row r="777" customFormat="false" ht="15.75" hidden="false" customHeight="false" outlineLevel="0" collapsed="false">
      <c r="A777" s="53"/>
      <c r="B777" s="9"/>
      <c r="C777" s="9"/>
      <c r="D777" s="9"/>
    </row>
    <row r="778" customFormat="false" ht="15.75" hidden="false" customHeight="false" outlineLevel="0" collapsed="false">
      <c r="A778" s="53"/>
      <c r="B778" s="9"/>
      <c r="C778" s="9"/>
      <c r="D778" s="9"/>
    </row>
    <row r="779" customFormat="false" ht="15.75" hidden="false" customHeight="false" outlineLevel="0" collapsed="false">
      <c r="A779" s="53"/>
      <c r="B779" s="9"/>
      <c r="C779" s="9"/>
      <c r="D779" s="9"/>
    </row>
    <row r="780" customFormat="false" ht="15.75" hidden="false" customHeight="false" outlineLevel="0" collapsed="false">
      <c r="A780" s="53"/>
      <c r="B780" s="9"/>
      <c r="C780" s="9"/>
      <c r="D780" s="9"/>
    </row>
    <row r="781" customFormat="false" ht="15.75" hidden="false" customHeight="false" outlineLevel="0" collapsed="false">
      <c r="A781" s="53"/>
      <c r="B781" s="9"/>
      <c r="C781" s="9"/>
      <c r="D781" s="9"/>
    </row>
    <row r="782" customFormat="false" ht="15.75" hidden="false" customHeight="false" outlineLevel="0" collapsed="false">
      <c r="A782" s="53"/>
      <c r="B782" s="9"/>
      <c r="C782" s="9"/>
      <c r="D782" s="9"/>
    </row>
    <row r="783" customFormat="false" ht="15.75" hidden="false" customHeight="false" outlineLevel="0" collapsed="false">
      <c r="A783" s="53"/>
      <c r="B783" s="9"/>
      <c r="C783" s="9"/>
      <c r="D783" s="9"/>
    </row>
    <row r="784" customFormat="false" ht="15.75" hidden="false" customHeight="false" outlineLevel="0" collapsed="false">
      <c r="A784" s="53"/>
      <c r="B784" s="9"/>
      <c r="C784" s="9"/>
      <c r="D784" s="9"/>
    </row>
    <row r="785" customFormat="false" ht="15.75" hidden="false" customHeight="false" outlineLevel="0" collapsed="false">
      <c r="A785" s="53"/>
      <c r="B785" s="9"/>
      <c r="C785" s="9"/>
      <c r="D785" s="9"/>
    </row>
    <row r="786" customFormat="false" ht="15.75" hidden="false" customHeight="false" outlineLevel="0" collapsed="false">
      <c r="A786" s="53"/>
      <c r="B786" s="9"/>
      <c r="C786" s="9"/>
      <c r="D786" s="9"/>
    </row>
    <row r="787" customFormat="false" ht="15.75" hidden="false" customHeight="false" outlineLevel="0" collapsed="false">
      <c r="A787" s="53"/>
      <c r="B787" s="9"/>
      <c r="C787" s="9"/>
      <c r="D787" s="9"/>
    </row>
    <row r="788" customFormat="false" ht="15.75" hidden="false" customHeight="false" outlineLevel="0" collapsed="false">
      <c r="A788" s="53"/>
      <c r="B788" s="9"/>
      <c r="C788" s="9"/>
      <c r="D788" s="9"/>
    </row>
    <row r="789" customFormat="false" ht="15.75" hidden="false" customHeight="false" outlineLevel="0" collapsed="false">
      <c r="A789" s="53"/>
      <c r="B789" s="9"/>
      <c r="C789" s="9"/>
      <c r="D789" s="9"/>
    </row>
    <row r="790" customFormat="false" ht="15.75" hidden="false" customHeight="false" outlineLevel="0" collapsed="false">
      <c r="A790" s="53"/>
      <c r="B790" s="9"/>
      <c r="C790" s="9"/>
      <c r="D790" s="9"/>
    </row>
    <row r="791" customFormat="false" ht="15.75" hidden="false" customHeight="false" outlineLevel="0" collapsed="false">
      <c r="A791" s="53"/>
      <c r="B791" s="9"/>
      <c r="C791" s="9"/>
      <c r="D791" s="9"/>
    </row>
    <row r="792" customFormat="false" ht="15.75" hidden="false" customHeight="false" outlineLevel="0" collapsed="false">
      <c r="A792" s="53"/>
      <c r="B792" s="9"/>
      <c r="C792" s="9"/>
      <c r="D792" s="9"/>
    </row>
    <row r="793" customFormat="false" ht="15.75" hidden="false" customHeight="false" outlineLevel="0" collapsed="false">
      <c r="A793" s="53"/>
      <c r="B793" s="9"/>
      <c r="C793" s="9"/>
      <c r="D793" s="9"/>
    </row>
    <row r="794" customFormat="false" ht="15.75" hidden="false" customHeight="false" outlineLevel="0" collapsed="false">
      <c r="A794" s="53"/>
      <c r="B794" s="9"/>
      <c r="C794" s="9"/>
      <c r="D794" s="9"/>
    </row>
    <row r="795" customFormat="false" ht="15.75" hidden="false" customHeight="false" outlineLevel="0" collapsed="false">
      <c r="A795" s="53"/>
      <c r="B795" s="9"/>
      <c r="C795" s="9"/>
      <c r="D795" s="9"/>
    </row>
    <row r="796" customFormat="false" ht="15.75" hidden="false" customHeight="false" outlineLevel="0" collapsed="false">
      <c r="A796" s="53"/>
      <c r="B796" s="9"/>
      <c r="C796" s="9"/>
      <c r="D796" s="9"/>
    </row>
    <row r="797" customFormat="false" ht="15.75" hidden="false" customHeight="false" outlineLevel="0" collapsed="false">
      <c r="A797" s="53"/>
      <c r="B797" s="9"/>
      <c r="C797" s="9"/>
      <c r="D797" s="9"/>
    </row>
    <row r="798" customFormat="false" ht="15.75" hidden="false" customHeight="false" outlineLevel="0" collapsed="false">
      <c r="A798" s="53"/>
      <c r="B798" s="9"/>
      <c r="C798" s="9"/>
      <c r="D798" s="9"/>
    </row>
    <row r="799" customFormat="false" ht="15.75" hidden="false" customHeight="false" outlineLevel="0" collapsed="false">
      <c r="A799" s="53"/>
      <c r="B799" s="9"/>
      <c r="C799" s="9"/>
      <c r="D799" s="9"/>
    </row>
    <row r="800" customFormat="false" ht="15.75" hidden="false" customHeight="false" outlineLevel="0" collapsed="false">
      <c r="A800" s="53"/>
      <c r="B800" s="9"/>
      <c r="C800" s="9"/>
      <c r="D800" s="9"/>
    </row>
    <row r="801" customFormat="false" ht="15.75" hidden="false" customHeight="false" outlineLevel="0" collapsed="false">
      <c r="A801" s="53"/>
      <c r="B801" s="9"/>
      <c r="C801" s="9"/>
      <c r="D801" s="9"/>
    </row>
    <row r="802" customFormat="false" ht="15.75" hidden="false" customHeight="false" outlineLevel="0" collapsed="false">
      <c r="A802" s="53"/>
      <c r="B802" s="9"/>
      <c r="C802" s="9"/>
      <c r="D802" s="9"/>
    </row>
    <row r="803" customFormat="false" ht="15.75" hidden="false" customHeight="false" outlineLevel="0" collapsed="false">
      <c r="A803" s="53"/>
      <c r="B803" s="9"/>
      <c r="C803" s="9"/>
      <c r="D803" s="9"/>
    </row>
    <row r="804" customFormat="false" ht="15.75" hidden="false" customHeight="false" outlineLevel="0" collapsed="false">
      <c r="A804" s="53"/>
      <c r="B804" s="9"/>
      <c r="C804" s="9"/>
      <c r="D804" s="9"/>
    </row>
    <row r="805" customFormat="false" ht="15.75" hidden="false" customHeight="false" outlineLevel="0" collapsed="false">
      <c r="A805" s="53"/>
      <c r="B805" s="9"/>
      <c r="C805" s="9"/>
      <c r="D805" s="9"/>
    </row>
    <row r="806" customFormat="false" ht="15.75" hidden="false" customHeight="false" outlineLevel="0" collapsed="false">
      <c r="A806" s="53"/>
      <c r="B806" s="9"/>
      <c r="C806" s="9"/>
      <c r="D806" s="9"/>
    </row>
    <row r="807" customFormat="false" ht="15.75" hidden="false" customHeight="false" outlineLevel="0" collapsed="false">
      <c r="A807" s="53"/>
      <c r="B807" s="9"/>
      <c r="C807" s="9"/>
      <c r="D807" s="9"/>
    </row>
    <row r="808" customFormat="false" ht="15.75" hidden="false" customHeight="false" outlineLevel="0" collapsed="false">
      <c r="A808" s="53"/>
      <c r="B808" s="9"/>
      <c r="C808" s="9"/>
      <c r="D808" s="9"/>
    </row>
    <row r="809" customFormat="false" ht="15.75" hidden="false" customHeight="false" outlineLevel="0" collapsed="false">
      <c r="A809" s="53"/>
      <c r="B809" s="9"/>
      <c r="C809" s="9"/>
      <c r="D809" s="9"/>
    </row>
    <row r="810" customFormat="false" ht="15.75" hidden="false" customHeight="false" outlineLevel="0" collapsed="false">
      <c r="A810" s="53"/>
      <c r="B810" s="9"/>
      <c r="C810" s="9"/>
      <c r="D810" s="9"/>
    </row>
    <row r="811" customFormat="false" ht="15.75" hidden="false" customHeight="false" outlineLevel="0" collapsed="false">
      <c r="A811" s="53"/>
      <c r="B811" s="9"/>
      <c r="C811" s="9"/>
      <c r="D811" s="9"/>
    </row>
    <row r="812" customFormat="false" ht="15.75" hidden="false" customHeight="false" outlineLevel="0" collapsed="false">
      <c r="A812" s="53"/>
      <c r="B812" s="9"/>
      <c r="C812" s="9"/>
      <c r="D812" s="9"/>
    </row>
    <row r="813" customFormat="false" ht="15.75" hidden="false" customHeight="false" outlineLevel="0" collapsed="false">
      <c r="A813" s="53"/>
      <c r="B813" s="9"/>
      <c r="C813" s="9"/>
      <c r="D813" s="9"/>
    </row>
    <row r="814" customFormat="false" ht="15.75" hidden="false" customHeight="false" outlineLevel="0" collapsed="false">
      <c r="A814" s="53"/>
      <c r="B814" s="9"/>
      <c r="C814" s="9"/>
      <c r="D814" s="9"/>
    </row>
    <row r="815" customFormat="false" ht="15.75" hidden="false" customHeight="false" outlineLevel="0" collapsed="false">
      <c r="A815" s="53"/>
      <c r="B815" s="9"/>
      <c r="C815" s="9"/>
      <c r="D815" s="9"/>
    </row>
    <row r="816" customFormat="false" ht="15.75" hidden="false" customHeight="false" outlineLevel="0" collapsed="false">
      <c r="A816" s="53"/>
      <c r="B816" s="9"/>
      <c r="C816" s="9"/>
      <c r="D816" s="9"/>
    </row>
    <row r="817" customFormat="false" ht="15.75" hidden="false" customHeight="false" outlineLevel="0" collapsed="false">
      <c r="A817" s="53"/>
      <c r="B817" s="9"/>
      <c r="C817" s="9"/>
      <c r="D817" s="9"/>
    </row>
    <row r="818" customFormat="false" ht="15.75" hidden="false" customHeight="false" outlineLevel="0" collapsed="false">
      <c r="A818" s="53"/>
      <c r="B818" s="9"/>
      <c r="C818" s="9"/>
      <c r="D818" s="9"/>
    </row>
    <row r="819" customFormat="false" ht="15.75" hidden="false" customHeight="false" outlineLevel="0" collapsed="false">
      <c r="A819" s="53"/>
      <c r="B819" s="9"/>
      <c r="C819" s="9"/>
      <c r="D819" s="9"/>
    </row>
    <row r="820" customFormat="false" ht="15.75" hidden="false" customHeight="false" outlineLevel="0" collapsed="false">
      <c r="A820" s="53"/>
      <c r="B820" s="9"/>
      <c r="C820" s="9"/>
      <c r="D820" s="9"/>
    </row>
    <row r="821" customFormat="false" ht="15.75" hidden="false" customHeight="false" outlineLevel="0" collapsed="false">
      <c r="A821" s="53"/>
      <c r="B821" s="9"/>
      <c r="C821" s="9"/>
      <c r="D821" s="9"/>
    </row>
    <row r="822" customFormat="false" ht="15.75" hidden="false" customHeight="false" outlineLevel="0" collapsed="false">
      <c r="A822" s="53"/>
      <c r="B822" s="9"/>
      <c r="C822" s="9"/>
      <c r="D822" s="9"/>
    </row>
    <row r="823" customFormat="false" ht="15.75" hidden="false" customHeight="false" outlineLevel="0" collapsed="false">
      <c r="A823" s="53"/>
      <c r="B823" s="9"/>
      <c r="C823" s="9"/>
      <c r="D823" s="9"/>
    </row>
    <row r="824" customFormat="false" ht="15.75" hidden="false" customHeight="false" outlineLevel="0" collapsed="false">
      <c r="A824" s="53"/>
      <c r="B824" s="9"/>
      <c r="C824" s="9"/>
      <c r="D824" s="9"/>
    </row>
    <row r="825" customFormat="false" ht="15.75" hidden="false" customHeight="false" outlineLevel="0" collapsed="false">
      <c r="A825" s="53"/>
      <c r="B825" s="9"/>
      <c r="C825" s="9"/>
      <c r="D825" s="9"/>
    </row>
    <row r="826" customFormat="false" ht="15.75" hidden="false" customHeight="false" outlineLevel="0" collapsed="false">
      <c r="A826" s="53"/>
      <c r="B826" s="9"/>
      <c r="C826" s="9"/>
      <c r="D826" s="9"/>
    </row>
    <row r="827" customFormat="false" ht="15.75" hidden="false" customHeight="false" outlineLevel="0" collapsed="false">
      <c r="A827" s="53"/>
      <c r="B827" s="9"/>
      <c r="C827" s="9"/>
      <c r="D827" s="9"/>
    </row>
    <row r="828" customFormat="false" ht="15.75" hidden="false" customHeight="false" outlineLevel="0" collapsed="false">
      <c r="A828" s="53"/>
      <c r="B828" s="9"/>
      <c r="C828" s="9"/>
      <c r="D828" s="9"/>
    </row>
    <row r="829" customFormat="false" ht="15.75" hidden="false" customHeight="false" outlineLevel="0" collapsed="false">
      <c r="A829" s="53"/>
      <c r="B829" s="9"/>
      <c r="C829" s="9"/>
      <c r="D829" s="9"/>
    </row>
    <row r="830" customFormat="false" ht="15.75" hidden="false" customHeight="false" outlineLevel="0" collapsed="false">
      <c r="A830" s="53"/>
      <c r="B830" s="9"/>
      <c r="C830" s="9"/>
      <c r="D830" s="9"/>
    </row>
    <row r="831" customFormat="false" ht="15.75" hidden="false" customHeight="false" outlineLevel="0" collapsed="false">
      <c r="A831" s="53"/>
      <c r="B831" s="9"/>
      <c r="C831" s="9"/>
      <c r="D831" s="9"/>
    </row>
    <row r="832" customFormat="false" ht="15.75" hidden="false" customHeight="false" outlineLevel="0" collapsed="false">
      <c r="A832" s="53"/>
      <c r="B832" s="9"/>
      <c r="C832" s="9"/>
      <c r="D832" s="9"/>
    </row>
    <row r="833" customFormat="false" ht="15.75" hidden="false" customHeight="false" outlineLevel="0" collapsed="false">
      <c r="A833" s="53"/>
      <c r="B833" s="9"/>
      <c r="C833" s="9"/>
      <c r="D833" s="9"/>
    </row>
    <row r="834" customFormat="false" ht="15.75" hidden="false" customHeight="false" outlineLevel="0" collapsed="false">
      <c r="A834" s="53"/>
      <c r="B834" s="9"/>
      <c r="C834" s="9"/>
      <c r="D834" s="9"/>
    </row>
    <row r="835" customFormat="false" ht="15.75" hidden="false" customHeight="false" outlineLevel="0" collapsed="false">
      <c r="A835" s="53"/>
      <c r="B835" s="9"/>
      <c r="C835" s="9"/>
      <c r="D835" s="9"/>
    </row>
    <row r="836" customFormat="false" ht="15.75" hidden="false" customHeight="false" outlineLevel="0" collapsed="false">
      <c r="A836" s="53"/>
      <c r="B836" s="9"/>
      <c r="C836" s="9"/>
      <c r="D836" s="9"/>
    </row>
    <row r="837" customFormat="false" ht="15.75" hidden="false" customHeight="false" outlineLevel="0" collapsed="false">
      <c r="A837" s="53"/>
      <c r="B837" s="9"/>
      <c r="C837" s="9"/>
      <c r="D837" s="9"/>
    </row>
    <row r="838" customFormat="false" ht="15.75" hidden="false" customHeight="false" outlineLevel="0" collapsed="false">
      <c r="A838" s="53"/>
      <c r="B838" s="9"/>
      <c r="C838" s="9"/>
      <c r="D838" s="9"/>
    </row>
    <row r="839" customFormat="false" ht="15.75" hidden="false" customHeight="false" outlineLevel="0" collapsed="false">
      <c r="A839" s="53"/>
      <c r="B839" s="9"/>
      <c r="C839" s="9"/>
      <c r="D839" s="9"/>
    </row>
    <row r="840" customFormat="false" ht="15.75" hidden="false" customHeight="false" outlineLevel="0" collapsed="false">
      <c r="A840" s="53"/>
      <c r="B840" s="9"/>
      <c r="C840" s="9"/>
      <c r="D840" s="9"/>
    </row>
    <row r="841" customFormat="false" ht="15.75" hidden="false" customHeight="false" outlineLevel="0" collapsed="false">
      <c r="A841" s="53"/>
      <c r="B841" s="9"/>
      <c r="C841" s="9"/>
      <c r="D841" s="9"/>
    </row>
    <row r="842" customFormat="false" ht="15.75" hidden="false" customHeight="false" outlineLevel="0" collapsed="false">
      <c r="A842" s="53"/>
      <c r="B842" s="9"/>
      <c r="C842" s="9"/>
      <c r="D842" s="9"/>
    </row>
    <row r="843" customFormat="false" ht="15.75" hidden="false" customHeight="false" outlineLevel="0" collapsed="false">
      <c r="A843" s="53"/>
      <c r="B843" s="9"/>
      <c r="C843" s="9"/>
      <c r="D843" s="9"/>
    </row>
    <row r="844" customFormat="false" ht="15.75" hidden="false" customHeight="false" outlineLevel="0" collapsed="false">
      <c r="A844" s="53"/>
      <c r="B844" s="9"/>
      <c r="C844" s="9"/>
      <c r="D844" s="9"/>
    </row>
    <row r="845" customFormat="false" ht="15.75" hidden="false" customHeight="false" outlineLevel="0" collapsed="false">
      <c r="A845" s="53"/>
      <c r="B845" s="9"/>
      <c r="C845" s="9"/>
      <c r="D845" s="9"/>
    </row>
    <row r="846" customFormat="false" ht="15.75" hidden="false" customHeight="false" outlineLevel="0" collapsed="false">
      <c r="A846" s="53"/>
      <c r="B846" s="9"/>
      <c r="C846" s="9"/>
      <c r="D846" s="9"/>
    </row>
    <row r="847" customFormat="false" ht="15.75" hidden="false" customHeight="false" outlineLevel="0" collapsed="false">
      <c r="A847" s="53"/>
      <c r="B847" s="9"/>
      <c r="C847" s="9"/>
      <c r="D847" s="9"/>
    </row>
    <row r="848" customFormat="false" ht="15.75" hidden="false" customHeight="false" outlineLevel="0" collapsed="false">
      <c r="A848" s="53"/>
      <c r="B848" s="9"/>
      <c r="C848" s="9"/>
      <c r="D848" s="9"/>
    </row>
    <row r="849" customFormat="false" ht="15.75" hidden="false" customHeight="false" outlineLevel="0" collapsed="false">
      <c r="A849" s="53"/>
      <c r="B849" s="9"/>
      <c r="C849" s="9"/>
      <c r="D849" s="9"/>
    </row>
    <row r="850" customFormat="false" ht="15.75" hidden="false" customHeight="false" outlineLevel="0" collapsed="false">
      <c r="A850" s="53"/>
      <c r="B850" s="9"/>
      <c r="C850" s="9"/>
      <c r="D850" s="9"/>
    </row>
    <row r="851" customFormat="false" ht="15.75" hidden="false" customHeight="false" outlineLevel="0" collapsed="false">
      <c r="A851" s="53"/>
      <c r="B851" s="9"/>
      <c r="C851" s="9"/>
      <c r="D851" s="9"/>
    </row>
    <row r="852" customFormat="false" ht="15.75" hidden="false" customHeight="false" outlineLevel="0" collapsed="false">
      <c r="A852" s="53"/>
      <c r="B852" s="9"/>
      <c r="C852" s="9"/>
      <c r="D852" s="9"/>
    </row>
    <row r="853" customFormat="false" ht="15.75" hidden="false" customHeight="false" outlineLevel="0" collapsed="false">
      <c r="A853" s="53"/>
      <c r="B853" s="9"/>
      <c r="C853" s="9"/>
      <c r="D853" s="9"/>
    </row>
    <row r="854" customFormat="false" ht="15.75" hidden="false" customHeight="false" outlineLevel="0" collapsed="false">
      <c r="A854" s="53"/>
      <c r="B854" s="9"/>
      <c r="C854" s="9"/>
      <c r="D854" s="9"/>
    </row>
    <row r="855" customFormat="false" ht="15.75" hidden="false" customHeight="false" outlineLevel="0" collapsed="false">
      <c r="A855" s="53"/>
      <c r="B855" s="9"/>
      <c r="C855" s="9"/>
      <c r="D855" s="9"/>
    </row>
    <row r="856" customFormat="false" ht="15.75" hidden="false" customHeight="false" outlineLevel="0" collapsed="false">
      <c r="A856" s="53"/>
      <c r="B856" s="9"/>
      <c r="C856" s="9"/>
      <c r="D856" s="9"/>
    </row>
    <row r="857" customFormat="false" ht="15.75" hidden="false" customHeight="false" outlineLevel="0" collapsed="false">
      <c r="A857" s="53"/>
      <c r="B857" s="9"/>
      <c r="C857" s="9"/>
      <c r="D857" s="9"/>
    </row>
    <row r="858" customFormat="false" ht="15.75" hidden="false" customHeight="false" outlineLevel="0" collapsed="false">
      <c r="A858" s="53"/>
      <c r="B858" s="9"/>
      <c r="C858" s="9"/>
      <c r="D858" s="9"/>
    </row>
    <row r="859" customFormat="false" ht="15.75" hidden="false" customHeight="false" outlineLevel="0" collapsed="false">
      <c r="A859" s="53"/>
      <c r="B859" s="9"/>
      <c r="C859" s="9"/>
      <c r="D859" s="9"/>
    </row>
    <row r="860" customFormat="false" ht="15.75" hidden="false" customHeight="false" outlineLevel="0" collapsed="false">
      <c r="A860" s="53"/>
      <c r="B860" s="9"/>
      <c r="C860" s="9"/>
      <c r="D860" s="9"/>
    </row>
    <row r="861" customFormat="false" ht="15.75" hidden="false" customHeight="false" outlineLevel="0" collapsed="false">
      <c r="A861" s="53"/>
      <c r="B861" s="9"/>
      <c r="C861" s="9"/>
      <c r="D861" s="9"/>
    </row>
    <row r="862" customFormat="false" ht="15.75" hidden="false" customHeight="false" outlineLevel="0" collapsed="false">
      <c r="A862" s="53"/>
      <c r="B862" s="9"/>
      <c r="C862" s="9"/>
      <c r="D862" s="9"/>
    </row>
    <row r="863" customFormat="false" ht="15.75" hidden="false" customHeight="false" outlineLevel="0" collapsed="false">
      <c r="A863" s="53"/>
      <c r="B863" s="9"/>
      <c r="C863" s="9"/>
      <c r="D863" s="9"/>
    </row>
    <row r="864" customFormat="false" ht="15.75" hidden="false" customHeight="false" outlineLevel="0" collapsed="false">
      <c r="A864" s="53"/>
      <c r="B864" s="9"/>
      <c r="C864" s="9"/>
      <c r="D864" s="9"/>
    </row>
    <row r="865" customFormat="false" ht="15.75" hidden="false" customHeight="false" outlineLevel="0" collapsed="false">
      <c r="A865" s="53"/>
      <c r="B865" s="9"/>
      <c r="C865" s="9"/>
      <c r="D865" s="9"/>
    </row>
    <row r="866" customFormat="false" ht="15.75" hidden="false" customHeight="false" outlineLevel="0" collapsed="false">
      <c r="A866" s="53"/>
      <c r="B866" s="9"/>
      <c r="C866" s="9"/>
      <c r="D866" s="9"/>
    </row>
    <row r="867" customFormat="false" ht="15.75" hidden="false" customHeight="false" outlineLevel="0" collapsed="false">
      <c r="A867" s="53"/>
      <c r="B867" s="9"/>
      <c r="C867" s="9"/>
      <c r="D867" s="9"/>
    </row>
    <row r="868" customFormat="false" ht="15.75" hidden="false" customHeight="false" outlineLevel="0" collapsed="false">
      <c r="A868" s="53"/>
      <c r="B868" s="9"/>
      <c r="C868" s="9"/>
      <c r="D868" s="9"/>
    </row>
    <row r="869" customFormat="false" ht="15.75" hidden="false" customHeight="false" outlineLevel="0" collapsed="false">
      <c r="A869" s="53"/>
      <c r="B869" s="9"/>
      <c r="C869" s="9"/>
      <c r="D869" s="9"/>
    </row>
    <row r="870" customFormat="false" ht="15.75" hidden="false" customHeight="false" outlineLevel="0" collapsed="false">
      <c r="A870" s="53"/>
      <c r="B870" s="9"/>
      <c r="C870" s="9"/>
      <c r="D870" s="9"/>
    </row>
    <row r="871" customFormat="false" ht="15.75" hidden="false" customHeight="false" outlineLevel="0" collapsed="false">
      <c r="A871" s="53"/>
      <c r="B871" s="9"/>
      <c r="C871" s="9"/>
      <c r="D871" s="9"/>
    </row>
    <row r="872" customFormat="false" ht="15.75" hidden="false" customHeight="false" outlineLevel="0" collapsed="false">
      <c r="A872" s="53"/>
      <c r="B872" s="9"/>
      <c r="C872" s="9"/>
      <c r="D872" s="9"/>
    </row>
    <row r="873" customFormat="false" ht="15.75" hidden="false" customHeight="false" outlineLevel="0" collapsed="false">
      <c r="A873" s="53"/>
      <c r="B873" s="9"/>
      <c r="C873" s="9"/>
      <c r="D873" s="9"/>
    </row>
    <row r="874" customFormat="false" ht="15.75" hidden="false" customHeight="false" outlineLevel="0" collapsed="false">
      <c r="A874" s="53"/>
      <c r="B874" s="9"/>
      <c r="C874" s="9"/>
      <c r="D874" s="9"/>
    </row>
    <row r="875" customFormat="false" ht="15.75" hidden="false" customHeight="false" outlineLevel="0" collapsed="false">
      <c r="A875" s="53"/>
      <c r="B875" s="9"/>
      <c r="C875" s="9"/>
      <c r="D875" s="9"/>
    </row>
    <row r="876" customFormat="false" ht="15.75" hidden="false" customHeight="false" outlineLevel="0" collapsed="false">
      <c r="A876" s="53"/>
      <c r="B876" s="9"/>
      <c r="C876" s="9"/>
      <c r="D876" s="9"/>
    </row>
    <row r="877" customFormat="false" ht="15.75" hidden="false" customHeight="false" outlineLevel="0" collapsed="false">
      <c r="A877" s="53"/>
      <c r="B877" s="9"/>
      <c r="C877" s="9"/>
      <c r="D877" s="9"/>
    </row>
    <row r="878" customFormat="false" ht="15.75" hidden="false" customHeight="false" outlineLevel="0" collapsed="false">
      <c r="A878" s="53"/>
      <c r="B878" s="9"/>
      <c r="C878" s="9"/>
      <c r="D878" s="9"/>
    </row>
    <row r="879" customFormat="false" ht="15.75" hidden="false" customHeight="false" outlineLevel="0" collapsed="false">
      <c r="A879" s="53"/>
      <c r="B879" s="9"/>
      <c r="C879" s="9"/>
      <c r="D879" s="9"/>
    </row>
    <row r="880" customFormat="false" ht="15.75" hidden="false" customHeight="false" outlineLevel="0" collapsed="false">
      <c r="A880" s="53"/>
      <c r="B880" s="9"/>
      <c r="C880" s="9"/>
      <c r="D880" s="9"/>
    </row>
    <row r="881" customFormat="false" ht="15.75" hidden="false" customHeight="false" outlineLevel="0" collapsed="false">
      <c r="A881" s="53"/>
      <c r="B881" s="9"/>
      <c r="C881" s="9"/>
      <c r="D881" s="9"/>
    </row>
    <row r="882" customFormat="false" ht="15.75" hidden="false" customHeight="false" outlineLevel="0" collapsed="false">
      <c r="A882" s="53"/>
      <c r="B882" s="9"/>
      <c r="C882" s="9"/>
      <c r="D882" s="9"/>
    </row>
    <row r="883" customFormat="false" ht="15.75" hidden="false" customHeight="false" outlineLevel="0" collapsed="false">
      <c r="A883" s="53"/>
      <c r="B883" s="9"/>
      <c r="C883" s="9"/>
      <c r="D883" s="9"/>
    </row>
    <row r="884" customFormat="false" ht="15.75" hidden="false" customHeight="false" outlineLevel="0" collapsed="false">
      <c r="A884" s="53"/>
      <c r="B884" s="9"/>
      <c r="C884" s="9"/>
      <c r="D884" s="9"/>
    </row>
    <row r="885" customFormat="false" ht="15.75" hidden="false" customHeight="false" outlineLevel="0" collapsed="false">
      <c r="A885" s="53"/>
      <c r="B885" s="9"/>
      <c r="C885" s="9"/>
      <c r="D885" s="9"/>
    </row>
    <row r="886" customFormat="false" ht="15.75" hidden="false" customHeight="false" outlineLevel="0" collapsed="false">
      <c r="A886" s="53"/>
      <c r="B886" s="9"/>
      <c r="C886" s="9"/>
      <c r="D886" s="9"/>
    </row>
    <row r="887" customFormat="false" ht="15.75" hidden="false" customHeight="false" outlineLevel="0" collapsed="false">
      <c r="A887" s="53"/>
      <c r="B887" s="9"/>
      <c r="C887" s="9"/>
      <c r="D887" s="9"/>
    </row>
    <row r="888" customFormat="false" ht="15.75" hidden="false" customHeight="false" outlineLevel="0" collapsed="false">
      <c r="A888" s="53"/>
      <c r="B888" s="9"/>
      <c r="C888" s="9"/>
      <c r="D888" s="9"/>
    </row>
    <row r="889" customFormat="false" ht="15.75" hidden="false" customHeight="false" outlineLevel="0" collapsed="false">
      <c r="A889" s="53"/>
      <c r="B889" s="9"/>
      <c r="C889" s="9"/>
      <c r="D889" s="9"/>
    </row>
    <row r="890" customFormat="false" ht="15.75" hidden="false" customHeight="false" outlineLevel="0" collapsed="false">
      <c r="A890" s="53"/>
      <c r="B890" s="9"/>
      <c r="C890" s="9"/>
      <c r="D890" s="9"/>
    </row>
    <row r="891" customFormat="false" ht="15.75" hidden="false" customHeight="false" outlineLevel="0" collapsed="false">
      <c r="A891" s="53"/>
      <c r="B891" s="9"/>
      <c r="C891" s="9"/>
      <c r="D891" s="9"/>
    </row>
    <row r="892" customFormat="false" ht="15.75" hidden="false" customHeight="false" outlineLevel="0" collapsed="false">
      <c r="A892" s="53"/>
      <c r="B892" s="9"/>
      <c r="C892" s="9"/>
      <c r="D892" s="9"/>
    </row>
    <row r="893" customFormat="false" ht="15.75" hidden="false" customHeight="false" outlineLevel="0" collapsed="false">
      <c r="A893" s="53"/>
      <c r="B893" s="9"/>
      <c r="C893" s="9"/>
      <c r="D893" s="9"/>
    </row>
    <row r="894" customFormat="false" ht="15.75" hidden="false" customHeight="false" outlineLevel="0" collapsed="false">
      <c r="A894" s="53"/>
      <c r="B894" s="9"/>
      <c r="C894" s="9"/>
      <c r="D894" s="9"/>
    </row>
    <row r="895" customFormat="false" ht="15.75" hidden="false" customHeight="false" outlineLevel="0" collapsed="false">
      <c r="A895" s="53"/>
      <c r="B895" s="9"/>
      <c r="C895" s="9"/>
      <c r="D895" s="9"/>
    </row>
    <row r="896" customFormat="false" ht="15.75" hidden="false" customHeight="false" outlineLevel="0" collapsed="false">
      <c r="A896" s="53"/>
      <c r="B896" s="9"/>
      <c r="C896" s="9"/>
      <c r="D896" s="9"/>
    </row>
    <row r="897" customFormat="false" ht="15.75" hidden="false" customHeight="false" outlineLevel="0" collapsed="false">
      <c r="A897" s="53"/>
      <c r="B897" s="9"/>
      <c r="C897" s="9"/>
      <c r="D897" s="9"/>
    </row>
    <row r="898" customFormat="false" ht="15.75" hidden="false" customHeight="false" outlineLevel="0" collapsed="false">
      <c r="A898" s="53"/>
      <c r="B898" s="9"/>
      <c r="C898" s="9"/>
      <c r="D898" s="9"/>
    </row>
    <row r="899" customFormat="false" ht="15.75" hidden="false" customHeight="false" outlineLevel="0" collapsed="false">
      <c r="A899" s="53"/>
      <c r="B899" s="9"/>
      <c r="C899" s="9"/>
      <c r="D899" s="9"/>
    </row>
    <row r="900" customFormat="false" ht="15.75" hidden="false" customHeight="false" outlineLevel="0" collapsed="false">
      <c r="A900" s="53"/>
      <c r="B900" s="9"/>
      <c r="C900" s="9"/>
      <c r="D900" s="9"/>
    </row>
    <row r="901" customFormat="false" ht="15.75" hidden="false" customHeight="false" outlineLevel="0" collapsed="false">
      <c r="A901" s="53"/>
      <c r="B901" s="9"/>
      <c r="C901" s="9"/>
      <c r="D901" s="9"/>
    </row>
    <row r="902" customFormat="false" ht="15.75" hidden="false" customHeight="false" outlineLevel="0" collapsed="false">
      <c r="A902" s="53"/>
      <c r="B902" s="9"/>
      <c r="C902" s="9"/>
      <c r="D902" s="9"/>
    </row>
    <row r="903" customFormat="false" ht="15.75" hidden="false" customHeight="false" outlineLevel="0" collapsed="false">
      <c r="A903" s="53"/>
      <c r="B903" s="9"/>
      <c r="C903" s="9"/>
      <c r="D903" s="9"/>
    </row>
    <row r="904" customFormat="false" ht="15.75" hidden="false" customHeight="false" outlineLevel="0" collapsed="false">
      <c r="A904" s="53"/>
      <c r="B904" s="9"/>
      <c r="C904" s="9"/>
      <c r="D904" s="9"/>
    </row>
    <row r="905" customFormat="false" ht="15.75" hidden="false" customHeight="false" outlineLevel="0" collapsed="false">
      <c r="A905" s="53"/>
      <c r="B905" s="9"/>
      <c r="C905" s="9"/>
      <c r="D905" s="9"/>
    </row>
    <row r="906" customFormat="false" ht="15.75" hidden="false" customHeight="false" outlineLevel="0" collapsed="false">
      <c r="A906" s="53"/>
      <c r="B906" s="9"/>
      <c r="C906" s="9"/>
      <c r="D906" s="9"/>
    </row>
    <row r="907" customFormat="false" ht="15.75" hidden="false" customHeight="false" outlineLevel="0" collapsed="false">
      <c r="A907" s="53"/>
      <c r="B907" s="9"/>
      <c r="C907" s="9"/>
      <c r="D907" s="9"/>
    </row>
    <row r="908" customFormat="false" ht="15.75" hidden="false" customHeight="false" outlineLevel="0" collapsed="false">
      <c r="A908" s="53"/>
      <c r="B908" s="9"/>
      <c r="C908" s="9"/>
      <c r="D908" s="9"/>
    </row>
    <row r="909" customFormat="false" ht="15.75" hidden="false" customHeight="false" outlineLevel="0" collapsed="false">
      <c r="A909" s="53"/>
      <c r="B909" s="9"/>
      <c r="C909" s="9"/>
      <c r="D909" s="9"/>
    </row>
    <row r="910" customFormat="false" ht="15.75" hidden="false" customHeight="false" outlineLevel="0" collapsed="false">
      <c r="A910" s="53"/>
      <c r="B910" s="9"/>
      <c r="C910" s="9"/>
      <c r="D910" s="9"/>
    </row>
    <row r="911" customFormat="false" ht="15.75" hidden="false" customHeight="false" outlineLevel="0" collapsed="false">
      <c r="A911" s="53"/>
      <c r="B911" s="9"/>
      <c r="C911" s="9"/>
      <c r="D911" s="9"/>
    </row>
    <row r="912" customFormat="false" ht="15.75" hidden="false" customHeight="false" outlineLevel="0" collapsed="false">
      <c r="A912" s="53"/>
      <c r="B912" s="9"/>
      <c r="C912" s="9"/>
      <c r="D912" s="9"/>
    </row>
    <row r="913" customFormat="false" ht="15.75" hidden="false" customHeight="false" outlineLevel="0" collapsed="false">
      <c r="A913" s="53"/>
      <c r="B913" s="9"/>
      <c r="C913" s="9"/>
      <c r="D913" s="9"/>
    </row>
    <row r="914" customFormat="false" ht="15.75" hidden="false" customHeight="false" outlineLevel="0" collapsed="false">
      <c r="A914" s="53"/>
      <c r="B914" s="9"/>
      <c r="C914" s="9"/>
      <c r="D914" s="9"/>
    </row>
    <row r="915" customFormat="false" ht="15.75" hidden="false" customHeight="false" outlineLevel="0" collapsed="false">
      <c r="A915" s="53"/>
      <c r="B915" s="9"/>
      <c r="C915" s="9"/>
      <c r="D915" s="9"/>
    </row>
    <row r="916" customFormat="false" ht="15.75" hidden="false" customHeight="false" outlineLevel="0" collapsed="false">
      <c r="A916" s="53"/>
      <c r="B916" s="9"/>
      <c r="C916" s="9"/>
      <c r="D916" s="9"/>
    </row>
    <row r="917" customFormat="false" ht="15.75" hidden="false" customHeight="false" outlineLevel="0" collapsed="false">
      <c r="A917" s="53"/>
      <c r="B917" s="9"/>
      <c r="C917" s="9"/>
      <c r="D917" s="9"/>
    </row>
    <row r="918" customFormat="false" ht="15.75" hidden="false" customHeight="false" outlineLevel="0" collapsed="false">
      <c r="A918" s="53"/>
      <c r="B918" s="9"/>
      <c r="C918" s="9"/>
      <c r="D918" s="9"/>
    </row>
    <row r="919" customFormat="false" ht="15.75" hidden="false" customHeight="false" outlineLevel="0" collapsed="false">
      <c r="A919" s="53"/>
      <c r="B919" s="9"/>
      <c r="C919" s="9"/>
      <c r="D919" s="9"/>
    </row>
    <row r="920" customFormat="false" ht="15.75" hidden="false" customHeight="false" outlineLevel="0" collapsed="false">
      <c r="A920" s="53"/>
      <c r="B920" s="9"/>
      <c r="C920" s="9"/>
      <c r="D920" s="9"/>
    </row>
    <row r="921" customFormat="false" ht="15.75" hidden="false" customHeight="false" outlineLevel="0" collapsed="false">
      <c r="A921" s="53"/>
      <c r="B921" s="9"/>
      <c r="C921" s="9"/>
      <c r="D921" s="9"/>
    </row>
    <row r="922" customFormat="false" ht="15.75" hidden="false" customHeight="false" outlineLevel="0" collapsed="false">
      <c r="A922" s="53"/>
      <c r="B922" s="9"/>
      <c r="C922" s="9"/>
      <c r="D922" s="9"/>
    </row>
    <row r="923" customFormat="false" ht="15.75" hidden="false" customHeight="false" outlineLevel="0" collapsed="false">
      <c r="A923" s="53"/>
      <c r="B923" s="9"/>
      <c r="C923" s="9"/>
      <c r="D923" s="9"/>
    </row>
    <row r="924" customFormat="false" ht="15.75" hidden="false" customHeight="false" outlineLevel="0" collapsed="false">
      <c r="A924" s="53"/>
      <c r="B924" s="9"/>
      <c r="C924" s="9"/>
      <c r="D924" s="9"/>
    </row>
    <row r="925" customFormat="false" ht="15.75" hidden="false" customHeight="false" outlineLevel="0" collapsed="false">
      <c r="A925" s="53"/>
      <c r="B925" s="9"/>
      <c r="C925" s="9"/>
      <c r="D925" s="9"/>
    </row>
    <row r="926" customFormat="false" ht="15.75" hidden="false" customHeight="false" outlineLevel="0" collapsed="false">
      <c r="A926" s="53"/>
      <c r="B926" s="9"/>
      <c r="C926" s="9"/>
      <c r="D926" s="9"/>
    </row>
    <row r="927" customFormat="false" ht="15.75" hidden="false" customHeight="false" outlineLevel="0" collapsed="false">
      <c r="A927" s="53"/>
      <c r="B927" s="9"/>
      <c r="C927" s="9"/>
      <c r="D927" s="9"/>
    </row>
    <row r="928" customFormat="false" ht="15.75" hidden="false" customHeight="false" outlineLevel="0" collapsed="false">
      <c r="A928" s="53"/>
      <c r="B928" s="9"/>
      <c r="C928" s="9"/>
      <c r="D928" s="9"/>
    </row>
    <row r="929" customFormat="false" ht="15.75" hidden="false" customHeight="false" outlineLevel="0" collapsed="false">
      <c r="A929" s="53"/>
      <c r="B929" s="9"/>
      <c r="C929" s="9"/>
      <c r="D929" s="9"/>
    </row>
    <row r="930" customFormat="false" ht="15.75" hidden="false" customHeight="false" outlineLevel="0" collapsed="false">
      <c r="A930" s="53"/>
      <c r="B930" s="9"/>
      <c r="C930" s="9"/>
      <c r="D930" s="9"/>
    </row>
    <row r="931" customFormat="false" ht="15.75" hidden="false" customHeight="false" outlineLevel="0" collapsed="false">
      <c r="A931" s="53"/>
      <c r="B931" s="9"/>
      <c r="C931" s="9"/>
      <c r="D931" s="9"/>
    </row>
    <row r="932" customFormat="false" ht="15.75" hidden="false" customHeight="false" outlineLevel="0" collapsed="false">
      <c r="A932" s="53"/>
      <c r="B932" s="9"/>
      <c r="C932" s="9"/>
      <c r="D932" s="9"/>
    </row>
    <row r="933" customFormat="false" ht="15.75" hidden="false" customHeight="false" outlineLevel="0" collapsed="false">
      <c r="A933" s="53"/>
      <c r="B933" s="9"/>
      <c r="C933" s="9"/>
      <c r="D933" s="9"/>
    </row>
    <row r="934" customFormat="false" ht="15.75" hidden="false" customHeight="false" outlineLevel="0" collapsed="false">
      <c r="A934" s="53"/>
      <c r="B934" s="9"/>
      <c r="C934" s="9"/>
      <c r="D934" s="9"/>
    </row>
    <row r="935" customFormat="false" ht="15.75" hidden="false" customHeight="false" outlineLevel="0" collapsed="false">
      <c r="A935" s="53"/>
      <c r="B935" s="9"/>
      <c r="C935" s="9"/>
      <c r="D935" s="9"/>
    </row>
    <row r="936" customFormat="false" ht="15.75" hidden="false" customHeight="false" outlineLevel="0" collapsed="false">
      <c r="A936" s="53"/>
      <c r="B936" s="9"/>
      <c r="C936" s="9"/>
      <c r="D936" s="9"/>
    </row>
    <row r="937" customFormat="false" ht="15.75" hidden="false" customHeight="false" outlineLevel="0" collapsed="false">
      <c r="A937" s="53"/>
      <c r="B937" s="9"/>
      <c r="C937" s="9"/>
      <c r="D937" s="9"/>
    </row>
    <row r="938" customFormat="false" ht="15.75" hidden="false" customHeight="false" outlineLevel="0" collapsed="false">
      <c r="A938" s="53"/>
      <c r="B938" s="9"/>
      <c r="C938" s="9"/>
      <c r="D938" s="9"/>
    </row>
    <row r="939" customFormat="false" ht="15.75" hidden="false" customHeight="false" outlineLevel="0" collapsed="false">
      <c r="A939" s="53"/>
      <c r="B939" s="9"/>
      <c r="C939" s="9"/>
      <c r="D939" s="9"/>
    </row>
    <row r="940" customFormat="false" ht="15.75" hidden="false" customHeight="false" outlineLevel="0" collapsed="false">
      <c r="A940" s="53"/>
      <c r="B940" s="9"/>
      <c r="C940" s="9"/>
      <c r="D940" s="9"/>
    </row>
    <row r="941" customFormat="false" ht="15.75" hidden="false" customHeight="false" outlineLevel="0" collapsed="false">
      <c r="A941" s="53"/>
      <c r="B941" s="9"/>
      <c r="C941" s="9"/>
      <c r="D941" s="9"/>
    </row>
    <row r="942" customFormat="false" ht="15.75" hidden="false" customHeight="false" outlineLevel="0" collapsed="false">
      <c r="A942" s="53"/>
      <c r="B942" s="9"/>
      <c r="C942" s="9"/>
      <c r="D942" s="9"/>
    </row>
    <row r="943" customFormat="false" ht="15.75" hidden="false" customHeight="false" outlineLevel="0" collapsed="false">
      <c r="A943" s="53"/>
      <c r="B943" s="9"/>
      <c r="C943" s="9"/>
      <c r="D943" s="9"/>
    </row>
    <row r="944" customFormat="false" ht="15.75" hidden="false" customHeight="false" outlineLevel="0" collapsed="false">
      <c r="A944" s="53"/>
      <c r="B944" s="9"/>
      <c r="C944" s="9"/>
      <c r="D944" s="9"/>
    </row>
    <row r="945" customFormat="false" ht="15.75" hidden="false" customHeight="false" outlineLevel="0" collapsed="false">
      <c r="A945" s="53"/>
      <c r="B945" s="9"/>
      <c r="C945" s="9"/>
      <c r="D945" s="9"/>
    </row>
    <row r="946" customFormat="false" ht="15.75" hidden="false" customHeight="false" outlineLevel="0" collapsed="false">
      <c r="A946" s="53"/>
      <c r="B946" s="9"/>
      <c r="C946" s="9"/>
      <c r="D946" s="9"/>
    </row>
    <row r="947" customFormat="false" ht="15.75" hidden="false" customHeight="false" outlineLevel="0" collapsed="false">
      <c r="A947" s="53"/>
      <c r="B947" s="9"/>
      <c r="C947" s="9"/>
      <c r="D947" s="9"/>
    </row>
    <row r="948" customFormat="false" ht="15.75" hidden="false" customHeight="false" outlineLevel="0" collapsed="false">
      <c r="A948" s="53"/>
      <c r="B948" s="9"/>
      <c r="C948" s="9"/>
      <c r="D948" s="9"/>
    </row>
    <row r="949" customFormat="false" ht="15.75" hidden="false" customHeight="false" outlineLevel="0" collapsed="false">
      <c r="A949" s="53"/>
      <c r="B949" s="9"/>
      <c r="C949" s="9"/>
      <c r="D949" s="9"/>
    </row>
    <row r="950" customFormat="false" ht="15.75" hidden="false" customHeight="false" outlineLevel="0" collapsed="false">
      <c r="A950" s="53"/>
      <c r="B950" s="9"/>
      <c r="C950" s="9"/>
      <c r="D950" s="9"/>
    </row>
    <row r="951" customFormat="false" ht="15.75" hidden="false" customHeight="false" outlineLevel="0" collapsed="false">
      <c r="A951" s="53"/>
      <c r="B951" s="9"/>
      <c r="C951" s="9"/>
      <c r="D951" s="9"/>
    </row>
    <row r="952" customFormat="false" ht="15.75" hidden="false" customHeight="false" outlineLevel="0" collapsed="false">
      <c r="A952" s="53"/>
      <c r="B952" s="9"/>
      <c r="C952" s="9"/>
      <c r="D952" s="9"/>
    </row>
    <row r="953" customFormat="false" ht="15.75" hidden="false" customHeight="false" outlineLevel="0" collapsed="false">
      <c r="A953" s="53"/>
      <c r="B953" s="9"/>
      <c r="C953" s="9"/>
      <c r="D953" s="9"/>
    </row>
    <row r="954" customFormat="false" ht="15.75" hidden="false" customHeight="false" outlineLevel="0" collapsed="false">
      <c r="A954" s="53"/>
      <c r="B954" s="9"/>
      <c r="C954" s="9"/>
      <c r="D954" s="9"/>
    </row>
    <row r="955" customFormat="false" ht="15.75" hidden="false" customHeight="false" outlineLevel="0" collapsed="false">
      <c r="A955" s="53"/>
      <c r="B955" s="9"/>
      <c r="C955" s="9"/>
      <c r="D955" s="9"/>
    </row>
    <row r="956" customFormat="false" ht="15.75" hidden="false" customHeight="false" outlineLevel="0" collapsed="false">
      <c r="A956" s="53"/>
      <c r="B956" s="9"/>
      <c r="C956" s="9"/>
      <c r="D956" s="9"/>
    </row>
    <row r="957" customFormat="false" ht="15.75" hidden="false" customHeight="false" outlineLevel="0" collapsed="false">
      <c r="A957" s="53"/>
      <c r="B957" s="9"/>
      <c r="C957" s="9"/>
      <c r="D957" s="9"/>
    </row>
    <row r="958" customFormat="false" ht="15.75" hidden="false" customHeight="false" outlineLevel="0" collapsed="false">
      <c r="A958" s="53"/>
      <c r="B958" s="9"/>
      <c r="C958" s="9"/>
      <c r="D958" s="9"/>
    </row>
    <row r="959" customFormat="false" ht="15.75" hidden="false" customHeight="false" outlineLevel="0" collapsed="false">
      <c r="A959" s="53"/>
      <c r="B959" s="9"/>
      <c r="C959" s="9"/>
      <c r="D959" s="9"/>
    </row>
    <row r="960" customFormat="false" ht="15.75" hidden="false" customHeight="false" outlineLevel="0" collapsed="false">
      <c r="A960" s="53"/>
      <c r="B960" s="9"/>
      <c r="C960" s="9"/>
      <c r="D960" s="9"/>
    </row>
    <row r="961" customFormat="false" ht="15.75" hidden="false" customHeight="false" outlineLevel="0" collapsed="false">
      <c r="A961" s="53"/>
      <c r="B961" s="9"/>
      <c r="C961" s="9"/>
      <c r="D961" s="9"/>
    </row>
    <row r="962" customFormat="false" ht="15.75" hidden="false" customHeight="false" outlineLevel="0" collapsed="false">
      <c r="A962" s="53"/>
      <c r="B962" s="9"/>
      <c r="C962" s="9"/>
      <c r="D962" s="9"/>
    </row>
    <row r="963" customFormat="false" ht="15.75" hidden="false" customHeight="false" outlineLevel="0" collapsed="false">
      <c r="A963" s="53"/>
      <c r="B963" s="9"/>
      <c r="C963" s="9"/>
      <c r="D963" s="9"/>
    </row>
    <row r="964" customFormat="false" ht="15.75" hidden="false" customHeight="false" outlineLevel="0" collapsed="false">
      <c r="A964" s="53"/>
      <c r="B964" s="9"/>
      <c r="C964" s="9"/>
      <c r="D964" s="9"/>
    </row>
    <row r="965" customFormat="false" ht="15.75" hidden="false" customHeight="false" outlineLevel="0" collapsed="false">
      <c r="A965" s="53"/>
      <c r="B965" s="9"/>
      <c r="C965" s="9"/>
      <c r="D965" s="9"/>
    </row>
    <row r="966" customFormat="false" ht="15.75" hidden="false" customHeight="false" outlineLevel="0" collapsed="false">
      <c r="A966" s="53"/>
      <c r="B966" s="9"/>
      <c r="C966" s="9"/>
      <c r="D966" s="9"/>
    </row>
    <row r="967" customFormat="false" ht="15.75" hidden="false" customHeight="false" outlineLevel="0" collapsed="false">
      <c r="A967" s="53"/>
      <c r="B967" s="9"/>
      <c r="C967" s="9"/>
      <c r="D967" s="9"/>
    </row>
    <row r="968" customFormat="false" ht="15.75" hidden="false" customHeight="false" outlineLevel="0" collapsed="false">
      <c r="A968" s="53"/>
      <c r="B968" s="9"/>
      <c r="C968" s="9"/>
      <c r="D968" s="9"/>
    </row>
    <row r="969" customFormat="false" ht="15.75" hidden="false" customHeight="false" outlineLevel="0" collapsed="false">
      <c r="A969" s="53"/>
      <c r="B969" s="9"/>
      <c r="C969" s="9"/>
      <c r="D969" s="9"/>
    </row>
    <row r="970" customFormat="false" ht="15.75" hidden="false" customHeight="false" outlineLevel="0" collapsed="false">
      <c r="A970" s="53"/>
      <c r="B970" s="9"/>
      <c r="C970" s="9"/>
      <c r="D970" s="9"/>
    </row>
    <row r="971" customFormat="false" ht="15.75" hidden="false" customHeight="false" outlineLevel="0" collapsed="false">
      <c r="A971" s="53"/>
      <c r="B971" s="9"/>
      <c r="C971" s="9"/>
      <c r="D971" s="9"/>
    </row>
    <row r="972" customFormat="false" ht="15.75" hidden="false" customHeight="false" outlineLevel="0" collapsed="false">
      <c r="A972" s="53"/>
      <c r="B972" s="9"/>
      <c r="C972" s="9"/>
      <c r="D972" s="9"/>
    </row>
    <row r="973" customFormat="false" ht="15.75" hidden="false" customHeight="false" outlineLevel="0" collapsed="false">
      <c r="A973" s="53"/>
      <c r="B973" s="9"/>
      <c r="C973" s="9"/>
      <c r="D973" s="9"/>
    </row>
    <row r="974" customFormat="false" ht="15.75" hidden="false" customHeight="false" outlineLevel="0" collapsed="false">
      <c r="A974" s="53"/>
      <c r="B974" s="9"/>
      <c r="C974" s="9"/>
      <c r="D974" s="9"/>
    </row>
    <row r="975" customFormat="false" ht="15.75" hidden="false" customHeight="false" outlineLevel="0" collapsed="false">
      <c r="A975" s="53"/>
      <c r="B975" s="9"/>
      <c r="C975" s="9"/>
      <c r="D975" s="9"/>
    </row>
    <row r="976" customFormat="false" ht="15.75" hidden="false" customHeight="false" outlineLevel="0" collapsed="false">
      <c r="A976" s="11"/>
      <c r="B976" s="10"/>
      <c r="C976" s="10"/>
      <c r="D976" s="10"/>
    </row>
    <row r="977" customFormat="false" ht="15.75" hidden="false" customHeight="false" outlineLevel="0" collapsed="false">
      <c r="A977" s="11"/>
      <c r="B977" s="10"/>
      <c r="C977" s="10"/>
      <c r="D977" s="10"/>
    </row>
    <row r="978" customFormat="false" ht="15.75" hidden="false" customHeight="false" outlineLevel="0" collapsed="false">
      <c r="A978" s="11"/>
      <c r="B978" s="10"/>
      <c r="C978" s="10"/>
      <c r="D978" s="10"/>
    </row>
    <row r="979" customFormat="false" ht="15.75" hidden="false" customHeight="false" outlineLevel="0" collapsed="false">
      <c r="A979" s="11"/>
      <c r="B979" s="10"/>
      <c r="C979" s="10"/>
      <c r="D979" s="10"/>
    </row>
    <row r="980" customFormat="false" ht="15.75" hidden="false" customHeight="false" outlineLevel="0" collapsed="false">
      <c r="A980" s="11"/>
      <c r="B980" s="10"/>
      <c r="C980" s="10"/>
      <c r="D980" s="10"/>
    </row>
    <row r="981" customFormat="false" ht="15.75" hidden="false" customHeight="false" outlineLevel="0" collapsed="false">
      <c r="A981" s="11"/>
      <c r="B981" s="10"/>
      <c r="C981" s="10"/>
      <c r="D981" s="10"/>
    </row>
    <row r="982" customFormat="false" ht="15.75" hidden="false" customHeight="false" outlineLevel="0" collapsed="false">
      <c r="A982" s="11"/>
      <c r="B982" s="10"/>
      <c r="C982" s="10"/>
      <c r="D982" s="10"/>
    </row>
    <row r="983" customFormat="false" ht="15.75" hidden="false" customHeight="false" outlineLevel="0" collapsed="false">
      <c r="A983" s="11"/>
      <c r="B983" s="10"/>
      <c r="C983" s="10"/>
      <c r="D983" s="10"/>
    </row>
    <row r="984" customFormat="false" ht="15.75" hidden="false" customHeight="false" outlineLevel="0" collapsed="false">
      <c r="A984" s="11"/>
      <c r="B984" s="10"/>
      <c r="C984" s="10"/>
      <c r="D984" s="10"/>
    </row>
    <row r="985" customFormat="false" ht="15.75" hidden="false" customHeight="false" outlineLevel="0" collapsed="false">
      <c r="A985" s="11"/>
      <c r="B985" s="10"/>
      <c r="C985" s="10"/>
      <c r="D985" s="10"/>
    </row>
    <row r="986" customFormat="false" ht="15.75" hidden="false" customHeight="false" outlineLevel="0" collapsed="false">
      <c r="A986" s="11"/>
      <c r="B986" s="10"/>
      <c r="C986" s="10"/>
      <c r="D986" s="10"/>
    </row>
    <row r="987" customFormat="false" ht="15.75" hidden="false" customHeight="false" outlineLevel="0" collapsed="false">
      <c r="A987" s="11"/>
      <c r="B987" s="10"/>
      <c r="C987" s="10"/>
      <c r="D987" s="10"/>
    </row>
    <row r="988" customFormat="false" ht="15.75" hidden="false" customHeight="false" outlineLevel="0" collapsed="false">
      <c r="A988" s="11"/>
      <c r="B988" s="10"/>
      <c r="C988" s="10"/>
      <c r="D988" s="10"/>
    </row>
    <row r="989" customFormat="false" ht="15.75" hidden="false" customHeight="false" outlineLevel="0" collapsed="false">
      <c r="A989" s="11"/>
      <c r="B989" s="10"/>
      <c r="C989" s="10"/>
      <c r="D989" s="10"/>
    </row>
    <row r="990" customFormat="false" ht="15.75" hidden="false" customHeight="false" outlineLevel="0" collapsed="false">
      <c r="A990" s="11"/>
      <c r="B990" s="10"/>
      <c r="C990" s="10"/>
      <c r="D990" s="10"/>
    </row>
    <row r="991" customFormat="false" ht="15.75" hidden="false" customHeight="false" outlineLevel="0" collapsed="false">
      <c r="A991" s="11"/>
      <c r="B991" s="10"/>
      <c r="C991" s="10"/>
      <c r="D991" s="10"/>
    </row>
    <row r="992" customFormat="false" ht="15.75" hidden="false" customHeight="false" outlineLevel="0" collapsed="false">
      <c r="A992" s="11"/>
      <c r="B992" s="10"/>
      <c r="C992" s="10"/>
      <c r="D992" s="10"/>
    </row>
    <row r="993" customFormat="false" ht="15.75" hidden="false" customHeight="false" outlineLevel="0" collapsed="false">
      <c r="A993" s="11"/>
      <c r="B993" s="10"/>
      <c r="C993" s="10"/>
      <c r="D993" s="10"/>
    </row>
    <row r="994" customFormat="false" ht="15.75" hidden="false" customHeight="false" outlineLevel="0" collapsed="false">
      <c r="A994" s="11"/>
      <c r="B994" s="10"/>
      <c r="C994" s="10"/>
      <c r="D994" s="10"/>
    </row>
    <row r="995" customFormat="false" ht="15.75" hidden="false" customHeight="false" outlineLevel="0" collapsed="false">
      <c r="A995" s="11"/>
      <c r="B995" s="10"/>
      <c r="C995" s="10"/>
      <c r="D995" s="10"/>
    </row>
    <row r="996" customFormat="false" ht="15.75" hidden="false" customHeight="false" outlineLevel="0" collapsed="false">
      <c r="A996" s="11"/>
      <c r="B996" s="10"/>
      <c r="C996" s="10"/>
      <c r="D996" s="10"/>
    </row>
    <row r="997" customFormat="false" ht="15.75" hidden="false" customHeight="false" outlineLevel="0" collapsed="false">
      <c r="A997" s="11"/>
      <c r="B997" s="10"/>
      <c r="C997" s="10"/>
      <c r="D997" s="10"/>
    </row>
    <row r="998" customFormat="false" ht="15.75" hidden="false" customHeight="false" outlineLevel="0" collapsed="false">
      <c r="A998" s="11"/>
      <c r="B998" s="10"/>
      <c r="C998" s="10"/>
      <c r="D998" s="10"/>
    </row>
    <row r="999" customFormat="false" ht="15.75" hidden="false" customHeight="false" outlineLevel="0" collapsed="false">
      <c r="A999" s="11"/>
      <c r="B999" s="10"/>
      <c r="C999" s="10"/>
      <c r="D999" s="10"/>
    </row>
    <row r="1000" customFormat="false" ht="15.75" hidden="false" customHeight="false" outlineLevel="0" collapsed="false">
      <c r="A1000" s="11"/>
      <c r="B1000" s="10"/>
      <c r="C1000" s="10"/>
      <c r="D1000" s="10"/>
    </row>
    <row r="1001" customFormat="false" ht="15.75" hidden="false" customHeight="false" outlineLevel="0" collapsed="false">
      <c r="A1001" s="11"/>
      <c r="B1001" s="10"/>
      <c r="C1001" s="10"/>
      <c r="D1001" s="10"/>
    </row>
    <row r="1048576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R5"/>
  <sheetViews>
    <sheetView showFormulas="false" showGridLines="true" showRowColHeaders="true" showZeros="true" rightToLeft="false" tabSelected="true" showOutlineSymbols="true" defaultGridColor="true" view="normal" topLeftCell="GA51" colorId="64" zoomScale="100" zoomScaleNormal="100" zoomScalePageLayoutView="100" workbookViewId="0">
      <selection pane="topLeft" activeCell="GI64" activeCellId="0" sqref="GI63:GI6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1" min="1" style="0" width="22.63"/>
  </cols>
  <sheetData>
    <row r="1" customFormat="false" ht="22.5" hidden="false" customHeight="true" outlineLevel="0" collapsed="false">
      <c r="A1" s="18" t="s">
        <v>2293</v>
      </c>
      <c r="B1" s="18" t="s">
        <v>2294</v>
      </c>
      <c r="C1" s="18" t="s">
        <v>33</v>
      </c>
      <c r="D1" s="18" t="s">
        <v>2296</v>
      </c>
      <c r="E1" s="18" t="s">
        <v>53</v>
      </c>
      <c r="F1" s="18" t="s">
        <v>2297</v>
      </c>
      <c r="G1" s="20" t="s">
        <v>2298</v>
      </c>
      <c r="H1" s="18" t="s">
        <v>2299</v>
      </c>
      <c r="I1" s="18" t="s">
        <v>2300</v>
      </c>
      <c r="J1" s="18" t="s">
        <v>2301</v>
      </c>
      <c r="K1" s="18" t="s">
        <v>2302</v>
      </c>
      <c r="L1" s="18" t="s">
        <v>2321</v>
      </c>
    </row>
    <row r="2" customFormat="false" ht="22.5" hidden="false" customHeight="true" outlineLevel="0" collapsed="false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R2" s="14"/>
    </row>
    <row r="3" customFormat="false" ht="22.5" hidden="false" customHeight="true" outlineLevel="0" collapsed="false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R3" s="14"/>
    </row>
    <row r="4" customFormat="false" ht="22.5" hidden="false" customHeight="true" outlineLevel="0" collapsed="false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R4" s="14"/>
    </row>
    <row r="5" customFormat="false" ht="22.5" hidden="false" customHeight="true" outlineLevel="0" collapsed="false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R5" s="14"/>
    </row>
  </sheetData>
  <dataValidations count="3">
    <dataValidation allowBlank="true" errorStyle="stop" operator="between" showDropDown="true" showErrorMessage="true" showInputMessage="false" sqref="D2:D5" type="list">
      <formula1>"CSM,CB,CB,CSC,CSM,CSC,CSC,CSM,CB,CSC,CSC,DD,AA,CB,CSC,CSM ,cb"</formula1>
      <formula2>0</formula2>
    </dataValidation>
    <dataValidation allowBlank="true" errorStyle="stop" operator="between" showDropDown="true" showErrorMessage="true" showInputMessage="false" sqref="E2:E5" type="list">
      <formula1>"TD,TN"</formula1>
      <formula2>0</formula2>
    </dataValidation>
    <dataValidation allowBlank="true" errorStyle="stop" operator="between" showDropDown="true" showErrorMessage="false" showInputMessage="false" sqref="F2:F5 H2:K5" type="custom">
      <formula1>AND(ISNUMBER(F2),(NOT(OR(NOT(ISERROR(DATEVALUE(F2))), AND(ISNUMBER(F2), LEFT(CELL("format", F2))="D")))))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2026-09-25T13:36:50Z</dcterms:modified>
  <cp:revision>1</cp:revision>
  <dc:subject/>
  <dc:title/>
</cp:coreProperties>
</file>